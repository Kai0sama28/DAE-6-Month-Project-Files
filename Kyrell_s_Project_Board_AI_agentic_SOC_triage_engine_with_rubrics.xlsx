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yrell's project board - ai-age" sheetId="1" state="visible" r:id="rId3"/>
    <sheet name="Rubric Summary" sheetId="2" state="visible" r:id="rId4"/>
    <sheet name="Rubric Checklist" sheetId="3" state="visible" r:id="rId5"/>
    <sheet name="Board Additions" sheetId="4" state="visible" r:id="rId6"/>
    <sheet name="updates" sheetId="5" state="visible" r:id="rId7"/>
  </sheets>
  <definedNames>
    <definedName function="false" hidden="true" localSheetId="2" name="_xlnm._FilterDatabase" vbProcedure="false">'Rubric Checklist'!$A$4:$J$50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<sst xmlns="http://schemas.openxmlformats.org/spreadsheetml/2006/main" count="1404" uniqueCount="676">
  <si>
    <t xml:space="preserve">Kyrell's Project Board - AI-agentic SOC triage engine</t>
  </si>
  <si>
    <t xml:space="preserve">Week 1- Project Foundation &amp; Planning</t>
  </si>
  <si>
    <t xml:space="preserve">Name</t>
  </si>
  <si>
    <t xml:space="preserve">Subitems</t>
  </si>
  <si>
    <t xml:space="preserve">Person</t>
  </si>
  <si>
    <t xml:space="preserve">Status</t>
  </si>
  <si>
    <t xml:space="preserve">Date</t>
  </si>
  <si>
    <t xml:space="preserve">Checkbox</t>
  </si>
  <si>
    <t xml:space="preserve">Item ID (auto generated)</t>
  </si>
  <si>
    <t xml:space="preserve">Project Setup &amp; Development Environment</t>
  </si>
  <si>
    <t xml:space="preserve">Kyrell Green</t>
  </si>
  <si>
    <t xml:space="preserve">Done</t>
  </si>
  <si>
    <t xml:space="preserve">v</t>
  </si>
  <si>
    <t xml:space="preserve">12726202658</t>
  </si>
  <si>
    <t xml:space="preserve">Design the Alert Schema</t>
  </si>
  <si>
    <t xml:space="preserve">12726300556</t>
  </si>
  <si>
    <t xml:space="preserve">Learn FastAPI Fundamentals</t>
  </si>
  <si>
    <t xml:space="preserve">12726350604</t>
  </si>
  <si>
    <t xml:space="preserve">Build the Identity API Skeleton</t>
  </si>
  <si>
    <t xml:space="preserve">12726389663</t>
  </si>
  <si>
    <t xml:space="preserve">TEST/Debug</t>
  </si>
  <si>
    <t xml:space="preserve">Working on it</t>
  </si>
  <si>
    <t xml:space="preserve">12737974625</t>
  </si>
  <si>
    <t xml:space="preserve">Status Update</t>
  </si>
  <si>
    <t xml:space="preserve">12856971058</t>
  </si>
  <si>
    <t xml:space="preserve">2026-08-17 to 2026-08-20</t>
  </si>
  <si>
    <t xml:space="preserve">2/6</t>
  </si>
  <si>
    <t xml:space="preserve">Week 2- Building the identity source</t>
  </si>
  <si>
    <t xml:space="preserve">Learn Pydantic Models</t>
  </si>
  <si>
    <t xml:space="preserve">12726484445</t>
  </si>
  <si>
    <t xml:space="preserve">Generate Synthetic Identity Data</t>
  </si>
  <si>
    <t xml:space="preserve">12726437133</t>
  </si>
  <si>
    <t xml:space="preserve">Connect FastAPI to PostgreSQL</t>
  </si>
  <si>
    <t xml:space="preserve">N/A</t>
  </si>
  <si>
    <t xml:space="preserve">12726460552</t>
  </si>
  <si>
    <t xml:space="preserve">Attack Scenario Generator</t>
  </si>
  <si>
    <t xml:space="preserve">12726485623</t>
  </si>
  <si>
    <t xml:space="preserve">12737960971</t>
  </si>
  <si>
    <t xml:space="preserve">2026-08-24 to 2026-08-27</t>
  </si>
  <si>
    <t xml:space="preserve">0/5</t>
  </si>
  <si>
    <t xml:space="preserve">Week 3- SIEM mock service -&gt; "Wazuh Integration"</t>
  </si>
  <si>
    <t xml:space="preserve">Design the SIEM Event Schema</t>
  </si>
  <si>
    <t xml:space="preserve">12715429015</t>
  </si>
  <si>
    <t xml:space="preserve">Build the SIEM FastAPI Service</t>
  </si>
  <si>
    <t xml:space="preserve">12715428090</t>
  </si>
  <si>
    <t xml:space="preserve">Generate SIEM Attack Events</t>
  </si>
  <si>
    <t xml:space="preserve">12715481534</t>
  </si>
  <si>
    <t xml:space="preserve">Integration Testing &amp; Project Review</t>
  </si>
  <si>
    <t xml:space="preserve">12715398467</t>
  </si>
  <si>
    <t xml:space="preserve">12737980224</t>
  </si>
  <si>
    <t xml:space="preserve">2026-08-31 to 2026-09-03</t>
  </si>
  <si>
    <t xml:space="preserve">Week 4- Build the EDR Mock Service</t>
  </si>
  <si>
    <t xml:space="preserve">Design the EDR Data Model</t>
  </si>
  <si>
    <t xml:space="preserve">12715482241</t>
  </si>
  <si>
    <t xml:space="preserve">Generate Synthetic Endpoint Telemetry</t>
  </si>
  <si>
    <t xml:space="preserve">12715484072</t>
  </si>
  <si>
    <t xml:space="preserve">Build the EDR FastAPI Service</t>
  </si>
  <si>
    <t xml:space="preserve">12715483928</t>
  </si>
  <si>
    <t xml:space="preserve">End-to-End API Integration</t>
  </si>
  <si>
    <t xml:space="preserve">12715481949</t>
  </si>
  <si>
    <t xml:space="preserve">Weekly Goal</t>
  </si>
  <si>
    <t xml:space="preserve">12726641813</t>
  </si>
  <si>
    <t xml:space="preserve">Monthly Presentation</t>
  </si>
  <si>
    <t xml:space="preserve">13019911458</t>
  </si>
  <si>
    <t xml:space="preserve">2026-09-07 to 2026-09-10</t>
  </si>
  <si>
    <t xml:space="preserve">1/6</t>
  </si>
  <si>
    <t xml:space="preserve">WEEK 5- Learn LangGraph &amp; Build the Supervisor</t>
  </si>
  <si>
    <t xml:space="preserve">Learn LangGraph Fundamentals</t>
  </si>
  <si>
    <t xml:space="preserve">12726676250</t>
  </si>
  <si>
    <t xml:space="preserve">Create the Investigation State</t>
  </si>
  <si>
    <t xml:space="preserve">12726699225</t>
  </si>
  <si>
    <t xml:space="preserve">Build the Supervisor Node</t>
  </si>
  <si>
    <t xml:space="preserve">12726690477</t>
  </si>
  <si>
    <t xml:space="preserve">Build the First Tool</t>
  </si>
  <si>
    <t xml:space="preserve">12726726941</t>
  </si>
  <si>
    <t xml:space="preserve">12726794813</t>
  </si>
  <si>
    <t xml:space="preserve">Status update</t>
  </si>
  <si>
    <t xml:space="preserve">13076056100</t>
  </si>
  <si>
    <t xml:space="preserve">2026-09-14 to 2026-09-17</t>
  </si>
  <si>
    <t xml:space="preserve">WEEK 6- Connect the Investigation Engine</t>
  </si>
  <si>
    <t xml:space="preserve">Connect the SIEM Tool</t>
  </si>
  <si>
    <t xml:space="preserve">12726786427</t>
  </si>
  <si>
    <t xml:space="preserve">Connect the EDR Tool</t>
  </si>
  <si>
    <t xml:space="preserve">12726761012</t>
  </si>
  <si>
    <t xml:space="preserve">Build the Investigation Timeline</t>
  </si>
  <si>
    <t xml:space="preserve">12726834681</t>
  </si>
  <si>
    <t xml:space="preserve">12726841316</t>
  </si>
  <si>
    <t xml:space="preserve">2026-09-21 to 2026-09-23</t>
  </si>
  <si>
    <t xml:space="preserve">0/4</t>
  </si>
  <si>
    <t xml:space="preserve">WEEK 7- Correlation &amp; MITRE ATT&amp;CK Mapping</t>
  </si>
  <si>
    <t xml:space="preserve">Complete the First Automated Investigation</t>
  </si>
  <si>
    <t xml:space="preserve">12726816232</t>
  </si>
  <si>
    <t xml:space="preserve">Design the Investigation Correlation Engine</t>
  </si>
  <si>
    <t xml:space="preserve">12727557582</t>
  </si>
  <si>
    <t xml:space="preserve">Build the Correlation Engine</t>
  </si>
  <si>
    <t xml:space="preserve">12727525999</t>
  </si>
  <si>
    <t xml:space="preserve">Implement MITRE ATT&amp;CK Mapping</t>
  </si>
  <si>
    <t xml:space="preserve">12727577701</t>
  </si>
  <si>
    <t xml:space="preserve">Validate All Attack Scenarios</t>
  </si>
  <si>
    <t xml:space="preserve">12727597585</t>
  </si>
  <si>
    <t xml:space="preserve">Weekly Summary</t>
  </si>
  <si>
    <t xml:space="preserve">12727548441</t>
  </si>
  <si>
    <t xml:space="preserve">2026-09-28 to 2026-10-02</t>
  </si>
  <si>
    <t xml:space="preserve">0/6</t>
  </si>
  <si>
    <t xml:space="preserve">WEEK 8- A.I. report Generation</t>
  </si>
  <si>
    <t xml:space="preserve">Design the Investigation Report</t>
  </si>
  <si>
    <t xml:space="preserve">12727631792</t>
  </si>
  <si>
    <t xml:space="preserve">Generate AI Investigation Summaries</t>
  </si>
  <si>
    <t xml:space="preserve">12727694453</t>
  </si>
  <si>
    <t xml:space="preserve">Implement Investigation Logging</t>
  </si>
  <si>
    <t xml:space="preserve">12727666620</t>
  </si>
  <si>
    <t xml:space="preserve">Complete the First End-to-End Investigation</t>
  </si>
  <si>
    <t xml:space="preserve">12727688142</t>
  </si>
  <si>
    <t xml:space="preserve">12727636140</t>
  </si>
  <si>
    <t xml:space="preserve">2026-10-05 to 2026-10-08</t>
  </si>
  <si>
    <t xml:space="preserve">WEEK 9- Human-in-the-Loop Workflow</t>
  </si>
  <si>
    <t xml:space="preserve">Design the Approval Workflow</t>
  </si>
  <si>
    <t xml:space="preserve">12727706291</t>
  </si>
  <si>
    <t xml:space="preserve">Implement the Approval Gate</t>
  </si>
  <si>
    <t xml:space="preserve">12727753589</t>
  </si>
  <si>
    <t xml:space="preserve">Build the Analyst Console (CLI Version)</t>
  </si>
  <si>
    <t xml:space="preserve">12727762641</t>
  </si>
  <si>
    <t xml:space="preserve">Adversarial Testing</t>
  </si>
  <si>
    <t xml:space="preserve">12727768361</t>
  </si>
  <si>
    <t xml:space="preserve">12727747896</t>
  </si>
  <si>
    <t xml:space="preserve">2026-10-12 to 2026-10-15</t>
  </si>
  <si>
    <t xml:space="preserve">WEEK 10- Build the SOC Dashboard</t>
  </si>
  <si>
    <t xml:space="preserve">Learn Streamlit Fundamentals</t>
  </si>
  <si>
    <t xml:space="preserve">12727820750</t>
  </si>
  <si>
    <t xml:space="preserve">Build the Alert Queue</t>
  </si>
  <si>
    <t xml:space="preserve">12727818972</t>
  </si>
  <si>
    <t xml:space="preserve">Display Investigation Results</t>
  </si>
  <si>
    <t xml:space="preserve">12727878257</t>
  </si>
  <si>
    <t xml:space="preserve">Implement Approval Buttons</t>
  </si>
  <si>
    <t xml:space="preserve">12727914405</t>
  </si>
  <si>
    <t xml:space="preserve">12727892990</t>
  </si>
  <si>
    <t xml:space="preserve">2026-10-19 to 2026-10-22</t>
  </si>
  <si>
    <t xml:space="preserve">Testing &amp; Evaluation</t>
  </si>
  <si>
    <t xml:space="preserve">Generate the Test Dataset</t>
  </si>
  <si>
    <t xml:space="preserve">12727960162</t>
  </si>
  <si>
    <t xml:space="preserve">Run Full System Evaluation</t>
  </si>
  <si>
    <t xml:space="preserve">12727943787</t>
  </si>
  <si>
    <t xml:space="preserve">Measure Performance</t>
  </si>
  <si>
    <t xml:space="preserve">12727971285</t>
  </si>
  <si>
    <t xml:space="preserve">Improve the Investigation Engine</t>
  </si>
  <si>
    <t xml:space="preserve">12727989038</t>
  </si>
  <si>
    <t xml:space="preserve">12727911635</t>
  </si>
  <si>
    <t xml:space="preserve">2026-10-26 to 2026-10-29</t>
  </si>
  <si>
    <t xml:space="preserve">Documentation, Portfolio &amp; Final Touches</t>
  </si>
  <si>
    <t xml:space="preserve">Write the Technical Documentation</t>
  </si>
  <si>
    <t xml:space="preserve">12727982226</t>
  </si>
  <si>
    <t xml:space="preserve">Record the Project Demo</t>
  </si>
  <si>
    <t xml:space="preserve">12728018274</t>
  </si>
  <si>
    <t xml:space="preserve">Write Your Portfolio Case Study</t>
  </si>
  <si>
    <t xml:space="preserve">12728091315</t>
  </si>
  <si>
    <t xml:space="preserve">Final QA &amp; Project Release</t>
  </si>
  <si>
    <t xml:space="preserve">12728038632</t>
  </si>
  <si>
    <t xml:space="preserve">12728068589</t>
  </si>
  <si>
    <t xml:space="preserve">2026-11-02 to 2026-11-05</t>
  </si>
  <si>
    <t xml:space="preserve">Rubric coverage summary</t>
  </si>
  <si>
    <t xml:space="preserve">All counts are formulas over 'Rubric Checklist' and 'Board Additions'; change a Status there and this sheet updates.</t>
  </si>
  <si>
    <t xml:space="preserve">Environment note: the IR rubric names Parrot OS + VirtualBox + macOS; your lab is Kali + UTM + Dockerized Wazuh on a Mac. Confirm the substitution with your instructor (board subitem on Oct 12).</t>
  </si>
  <si>
    <t xml:space="preserve">Partial credit weight</t>
  </si>
  <si>
    <t xml:space="preserve">Assumption: a 'Partial' row counts as half done in % complete (my choice; edit to taste).</t>
  </si>
  <si>
    <t xml:space="preserve">Rubric</t>
  </si>
  <si>
    <t xml:space="preserve">Crit.</t>
  </si>
  <si>
    <t xml:space="preserve">Criterion</t>
  </si>
  <si>
    <t xml:space="preserve">Requirements</t>
  </si>
  <si>
    <t xml:space="preserve">Partial</t>
  </si>
  <si>
    <t xml:space="preserve">Not started</t>
  </si>
  <si>
    <t xml:space="preserve">% complete</t>
  </si>
  <si>
    <t xml:space="preserve">Board subitems linked</t>
  </si>
  <si>
    <t xml:space="preserve">Security Monitoring</t>
  </si>
  <si>
    <t xml:space="preserve">M1</t>
  </si>
  <si>
    <t xml:space="preserve">Monitoring Environment Setup</t>
  </si>
  <si>
    <t xml:space="preserve">M2</t>
  </si>
  <si>
    <t xml:space="preserve">Security Event Analysis</t>
  </si>
  <si>
    <t xml:space="preserve">M3</t>
  </si>
  <si>
    <t xml:space="preserve">Monitoring Implementation</t>
  </si>
  <si>
    <t xml:space="preserve">M4</t>
  </si>
  <si>
    <t xml:space="preserve">Security Reporting</t>
  </si>
  <si>
    <t xml:space="preserve">Incident Response</t>
  </si>
  <si>
    <t xml:space="preserve">I1</t>
  </si>
  <si>
    <t xml:space="preserve">IR Environment Setup</t>
  </si>
  <si>
    <t xml:space="preserve">I2</t>
  </si>
  <si>
    <t xml:space="preserve">Incident Detection and Analysis</t>
  </si>
  <si>
    <t xml:space="preserve">I3</t>
  </si>
  <si>
    <t xml:space="preserve">Incident Response and Containment</t>
  </si>
  <si>
    <t xml:space="preserve">I4</t>
  </si>
  <si>
    <t xml:space="preserve">Digital Evidence Management</t>
  </si>
  <si>
    <t xml:space="preserve">I5</t>
  </si>
  <si>
    <t xml:space="preserve">IR Documentation and Reporting</t>
  </si>
  <si>
    <t xml:space="preserve">I6</t>
  </si>
  <si>
    <t xml:space="preserve">Post-Incident Procedures</t>
  </si>
  <si>
    <t xml:space="preserve">Overall</t>
  </si>
  <si>
    <t xml:space="preserve">Rubric checklist: Security Monitoring + Incident Response</t>
  </si>
  <si>
    <t xml:space="preserve">Edit only the Status column (dropdown) and add links in 'Existing evidence' as you capture them. Status reflects the repo as of Oct 12, 2026 plus your Oct 5-8 notes; re-check anything marked Done before submitting.</t>
  </si>
  <si>
    <t xml:space="preserve">Target date = earliest linked subitem on 'Board Additions' (assumption: set by me from the board's week windows).</t>
  </si>
  <si>
    <t xml:space="preserve">ID</t>
  </si>
  <si>
    <t xml:space="preserve">Requirement</t>
  </si>
  <si>
    <t xml:space="preserve">Board tie-in</t>
  </si>
  <si>
    <t xml:space="preserve">Existing evidence</t>
  </si>
  <si>
    <t xml:space="preserve">Gap / next action</t>
  </si>
  <si>
    <t xml:space="preserve">Target date</t>
  </si>
  <si>
    <t xml:space="preserve">M1.1</t>
  </si>
  <si>
    <t xml:space="preserve">Wazuh (or similar) installed and configured, with evidence of network configuration</t>
  </si>
  <si>
    <t xml:space="preserve">Week 3 - Wazuh Integration</t>
  </si>
  <si>
    <t xml:space="preserve">Wazuh 4.14.7 Docker stack; ARCHITECTURE.md; SIEM_Implementation.md; Network_Topology report (10.11.0.0/22)</t>
  </si>
  <si>
    <t xml:space="preserve">Add a 'docker compose ps' screenshot and one dashboard screenshot</t>
  </si>
  <si>
    <t xml:space="preserve">M1.2</t>
  </si>
  <si>
    <t xml:space="preserve">Log collection from 2+ source types (Windows and Linux) with verified connectivity</t>
  </si>
  <si>
    <t xml:space="preserve">Week 3 / AGENT_DEPLOYMENT_STATUS</t>
  </si>
  <si>
    <t xml:space="preserve">Agent 002 Kali (Linux) and agent 007 DESKTOP-VCKJCPV (Windows, enrolled 2026-09-23); Ping.png; test_wazuh_connection.py</t>
  </si>
  <si>
    <t xml:space="preserve">Screenshot of Agents page showing both Active</t>
  </si>
  <si>
    <t xml:space="preserve">M1.3</t>
  </si>
  <si>
    <t xml:space="preserve">Alert rules for 3+ scenarios (authentication, file access, network activity)</t>
  </si>
  <si>
    <t xml:space="preserve">Week 3; Week 9 adds</t>
  </si>
  <si>
    <t xml:space="preserve">Auth: stock 5763/40112 plus custom 100002/100003. Windows: custom 100010/100011. Network: custom 100020/100021 (Suricata). File access: stock FIM rule 550</t>
  </si>
  <si>
    <t xml:space="preserve">Show rules in local_rules.xml + logtest proof; confirm Suricata alerts reach Wazuh; fix ID 100010 meaning in older docs</t>
  </si>
  <si>
    <t xml:space="preserve">M1.4</t>
  </si>
  <si>
    <t xml:space="preserve">Basic monitoring workflow showing alert routing and notification configuration</t>
  </si>
  <si>
    <t xml:space="preserve">Week 9 - Approval Gate</t>
  </si>
  <si>
    <t xml:space="preserve">SOC_Operations.md workflow (alert to TheHive to analyst). Live ossec.conf had email_notification = no and no Wazuh-to-TheHive connector as of Oct 5</t>
  </si>
  <si>
    <t xml:space="preserve">Configure one real path (email or TheHive integration) and capture a test alert</t>
  </si>
  <si>
    <t xml:space="preserve">M1.5</t>
  </si>
  <si>
    <t xml:space="preserve">Screenshots: dashboard, configuration files, log collection, rule triggering</t>
  </si>
  <si>
    <t xml:space="preserve">Week 9</t>
  </si>
  <si>
    <t xml:space="preserve">5 screenshots in ai-agentic-soc/screenshots (agent deployment, agents list, ping, test server, Aug 19 dashboard)</t>
  </si>
  <si>
    <t xml:space="preserve">Missing: ossec.conf, local_rules.xml, a rule-trigger (5763/40112) view</t>
  </si>
  <si>
    <t xml:space="preserve">M2.1</t>
  </si>
  <si>
    <t xml:space="preserve">Analysis of 3+ log types with clear interpretation methodology</t>
  </si>
  <si>
    <t xml:space="preserve">Week 7 - Correlation</t>
  </si>
  <si>
    <t xml:space="preserve">Threat_Detection_Principles.md: sshd auth, FIM, Windows event channel, SCA, vulnerability detector</t>
  </si>
  <si>
    <t xml:space="preserve">None</t>
  </si>
  <si>
    <t xml:space="preserve">M2.2</t>
  </si>
  <si>
    <t xml:space="preserve">Correlation between 2+ log sources showing related events</t>
  </si>
  <si>
    <t xml:space="preserve">Week 7 - Correlation Engine</t>
  </si>
  <si>
    <t xml:space="preserve">Auth log (passwd labtester, rule 5402) + FIM /etc/shadow change (rule 550); evidence gatherer joins Wazuh + identity + EDR</t>
  </si>
  <si>
    <t xml:space="preserve">Label the two sources explicitly as a correlation exercise. Do not use the Suricata replay (synthetic 2002 timestamps) as a correlation source</t>
  </si>
  <si>
    <t xml:space="preserve">M2.3</t>
  </si>
  <si>
    <t xml:space="preserve">Complete incident detection scenario: timeline, correlation, conclusions</t>
  </si>
  <si>
    <t xml:space="preserve">Week 8 - First End-to-End Investigation</t>
  </si>
  <si>
    <t xml:space="preserve">SOC-CASE-2026-0142 (rule 40112 level 12, 71 ms session, no post-access activity)</t>
  </si>
  <si>
    <t xml:space="preserve">M2.4</t>
  </si>
  <si>
    <t xml:space="preserve">Alert triage process: severity assessment, false-positive identification, escalation criteria</t>
  </si>
  <si>
    <t xml:space="preserve">Week 9 - Approval Workflow</t>
  </si>
  <si>
    <t xml:space="preserve">Incident_Response_Template A.9 severity matrix; Methodology escalation triggers D1-D7; benign examples (rootcheck 510, DCOM 61110)</t>
  </si>
  <si>
    <t xml:space="preserve">Put the false-positive examples in a table inside the repo docs</t>
  </si>
  <si>
    <t xml:space="preserve">M2.5</t>
  </si>
  <si>
    <t xml:space="preserve">Annotated log excerpts, interpretation of findings, investigation methodology</t>
  </si>
  <si>
    <t xml:space="preserve">Week 8 - Logging</t>
  </si>
  <si>
    <t xml:space="preserve">Methodology sec. 6 and 8 (verbatim full_log lines, queries to re-derive)</t>
  </si>
  <si>
    <t xml:space="preserve">M3.1</t>
  </si>
  <si>
    <t xml:space="preserve">Monitoring architecture diagram with components and data flows</t>
  </si>
  <si>
    <t xml:space="preserve">Week 3</t>
  </si>
  <si>
    <t xml:space="preserve">Mermaid diagrams in SIEM_Implementation sec. 1.2 and Monitor_and_Respond sec. 1.1</t>
  </si>
  <si>
    <t xml:space="preserve">Export one combined image including TheHive, Suricata and the triage engine</t>
  </si>
  <si>
    <t xml:space="preserve">M3.2</t>
  </si>
  <si>
    <t xml:space="preserve">3+ data sources integrated with evidence of successful collection</t>
  </si>
  <si>
    <t xml:space="preserve">Week 3-4</t>
  </si>
  <si>
    <t xml:space="preserve">Linux auth/journald, Windows event channel, FIM, SCA, vulnerability detector; indexer queries in Methodology sec. 8</t>
  </si>
  <si>
    <t xml:space="preserve">Screenshot of each source in Discover</t>
  </si>
  <si>
    <t xml:space="preserve">M3.3</t>
  </si>
  <si>
    <t xml:space="preserve">Performance baselines for normal operations with defined alert thresholds</t>
  </si>
  <si>
    <t xml:space="preserve">Week 10</t>
  </si>
  <si>
    <t xml:space="preserve">Wazuh rule 11 fired on 2026-10-01 ('average 561, reached 1812') - an existing baseline signal</t>
  </si>
  <si>
    <t xml:space="preserve">Build baseline table from indexer (alerts/day per agent, failed logins per source) and state thresholds</t>
  </si>
  <si>
    <t xml:space="preserve">M3.4</t>
  </si>
  <si>
    <t xml:space="preserve">Health monitoring: collection status, processing performance, storage utilization</t>
  </si>
  <si>
    <t xml:space="preserve">IndexerClient.ping(); /agents status; /manager/status; known Docker VM RAM limit (7.7 GiB)</t>
  </si>
  <si>
    <t xml:space="preserve">Write health_check.py and document the procedure</t>
  </si>
  <si>
    <t xml:space="preserve">M3.5</t>
  </si>
  <si>
    <t xml:space="preserve">Implementation docs: config files, integration steps, baselines, health check procedures</t>
  </si>
  <si>
    <t xml:space="preserve">Week 11 - Technical Documentation</t>
  </si>
  <si>
    <t xml:space="preserve">README.md; SIEM_Implementation.md; ARCHITECTURE.md</t>
  </si>
  <si>
    <t xml:space="preserve">Baselines and health procedures missing (see M3.3, M3.4)</t>
  </si>
  <si>
    <t xml:space="preserve">M4.1</t>
  </si>
  <si>
    <t xml:space="preserve">Standardized alert documentation template used for 3+ alert types</t>
  </si>
  <si>
    <t xml:space="preserve">Testing and Evaluation</t>
  </si>
  <si>
    <t xml:space="preserve">Incident_Response_Template.md (Sections A-J); 1 completed instance (0142)</t>
  </si>
  <si>
    <t xml:space="preserve">Complete 2 more types (e.g. vulnerability CVE, SCA score, Windows account change)</t>
  </si>
  <si>
    <t xml:space="preserve">M4.2</t>
  </si>
  <si>
    <t xml:space="preserve">Security metrics: operational, coverage, effectiveness, with measurement methods</t>
  </si>
  <si>
    <t xml:space="preserve">Testing - Measure Performance</t>
  </si>
  <si>
    <t xml:space="preserve">0142: declared about 2 min, D3 under 1 min, contained T+20. Board task already plans accuracy / FP / FN</t>
  </si>
  <si>
    <t xml:space="preserve">Consolidate into one metrics table with a method per metric</t>
  </si>
  <si>
    <t xml:space="preserve">M4.3</t>
  </si>
  <si>
    <t xml:space="preserve">Security summary report: alert trends, significant findings, recommendations</t>
  </si>
  <si>
    <t xml:space="preserve">Documentation week</t>
  </si>
  <si>
    <t xml:space="preserve">Findings I.1-I.9 in the IR report; weekly status updates</t>
  </si>
  <si>
    <t xml:space="preserve">Add alert-trend section from indexer counts</t>
  </si>
  <si>
    <t xml:space="preserve">M4.4</t>
  </si>
  <si>
    <t xml:space="preserve">At least one dashboard showing real-time security status with visualizations</t>
  </si>
  <si>
    <t xml:space="preserve">Week 10 - SOC Dashboard</t>
  </si>
  <si>
    <t xml:space="preserve">Wazuh dashboard is live; Streamlit alert queue planned Oct 19-22</t>
  </si>
  <si>
    <t xml:space="preserve">Decide which dashboard you submit; add health panel</t>
  </si>
  <si>
    <t xml:space="preserve">M4.5</t>
  </si>
  <si>
    <t xml:space="preserve">Professional standards: organization, appropriate detail, actionable information</t>
  </si>
  <si>
    <t xml:space="preserve">All documentation</t>
  </si>
  <si>
    <t xml:space="preserve">Consistent rubric-coverage tables and doc maps across reports</t>
  </si>
  <si>
    <t xml:space="preserve">Final proofread pass</t>
  </si>
  <si>
    <t xml:space="preserve">I1.1</t>
  </si>
  <si>
    <t xml:space="preserve">Wazuh SIEM on Parrot OS (VirtualBox) with agent deployment</t>
  </si>
  <si>
    <t xml:space="preserve">Wazuh on Docker (Mac) + Kali agent in UTM (Parrot/VirtualBox not used)</t>
  </si>
  <si>
    <t xml:space="preserve">ENVIRONMENT MISMATCH: get instructor sign-off that Kali/UTM substitutes</t>
  </si>
  <si>
    <t xml:space="preserve">I1.2</t>
  </si>
  <si>
    <t xml:space="preserve">Log collection configuration from Parrot OS</t>
  </si>
  <si>
    <t xml:space="preserve">Kali agent 002 shipping auth/journald events; Firewall_IDS_IPS report localfile config</t>
  </si>
  <si>
    <t xml:space="preserve">None beyond naming Kali instead of Parrot</t>
  </si>
  <si>
    <t xml:space="preserve">I1.3</t>
  </si>
  <si>
    <t xml:space="preserve">Creation of 3 custom alert rules for security events</t>
  </si>
  <si>
    <t xml:space="preserve">Custom rules 100002/100003, 100010/100011, 100020/100021 written Oct 5-8</t>
  </si>
  <si>
    <t xml:space="preserve">Capture local_rules.xml + logtest; fix doc rule-ID conflicts</t>
  </si>
  <si>
    <t xml:space="preserve">I1.4</t>
  </si>
  <si>
    <t xml:space="preserve">Wireshark configured with proper capture filters</t>
  </si>
  <si>
    <t xml:space="preserve">Testing week</t>
  </si>
  <si>
    <t xml:space="preserve">Network_Security_Tools_Report sec. 1 (filter: host 10.11.3.57 and tcp port 22)</t>
  </si>
  <si>
    <t xml:space="preserve">That section was drafted - run a real capture and screenshot it</t>
  </si>
  <si>
    <t xml:space="preserve">I1.5</t>
  </si>
  <si>
    <t xml:space="preserve">Volatility framework with memory analysis configuration</t>
  </si>
  <si>
    <t xml:space="preserve">Testing week (stretch)</t>
  </si>
  <si>
    <t xml:space="preserve">Install Volatility 3 on Kali, document config</t>
  </si>
  <si>
    <t xml:space="preserve">I1.6</t>
  </si>
  <si>
    <t xml:space="preserve">System logging from both Parrot OS and macOS ingested into Wazuh</t>
  </si>
  <si>
    <t xml:space="preserve">Kali ingestion works</t>
  </si>
  <si>
    <t xml:space="preserve">No macOS agent: enroll the Mac and show events in the dashboard</t>
  </si>
  <si>
    <t xml:space="preserve">I2.1</t>
  </si>
  <si>
    <t xml:space="preserve">Analysis of both Parrot OS and macOS logs in Wazuh with methodology</t>
  </si>
  <si>
    <t xml:space="preserve">Week 10 / Testing</t>
  </si>
  <si>
    <t xml:space="preserve">Kali analysis complete (Methodology)</t>
  </si>
  <si>
    <t xml:space="preserve">Add macOS analysis after I1.6</t>
  </si>
  <si>
    <t xml:space="preserve">I2.2</t>
  </si>
  <si>
    <t xml:space="preserve">Investigation of 1 suspicious login: host-to-Parrot log correlation, timeline, alert validation</t>
  </si>
  <si>
    <t xml:space="preserve">Week 8</t>
  </si>
  <si>
    <t xml:space="preserve">SOC-CASE-2026-0142; note source IP 192.168.64.3 is Kali's own address (self-generated test)</t>
  </si>
  <si>
    <t xml:space="preserve">Add host-side (macOS) log correlation to the timeline</t>
  </si>
  <si>
    <t xml:space="preserve">I2.3</t>
  </si>
  <si>
    <t xml:space="preserve">Classification of 3 distinct incidents using the taught severity matrix</t>
  </si>
  <si>
    <t xml:space="preserve">1 classified (0142 = High). Candidates ready: 2026-09-30 blocked run, CIS SCA 19005 (score 27%), Windows 4738 events, GIMP CVEs</t>
  </si>
  <si>
    <t xml:space="preserve">Write and classify 2 more</t>
  </si>
  <si>
    <t xml:space="preserve">I2.4</t>
  </si>
  <si>
    <t xml:space="preserve">Documented methodologies and potential security implications</t>
  </si>
  <si>
    <t xml:space="preserve">Week 7-8</t>
  </si>
  <si>
    <t xml:space="preserve">Threat_Detection_Principles.md; Methodology sec. 5</t>
  </si>
  <si>
    <t xml:space="preserve">I3.1</t>
  </si>
  <si>
    <t xml:space="preserve">Network isolation: interface configuration, firewall rules, segmentation via VM networking</t>
  </si>
  <si>
    <t xml:space="preserve">Firewall_IDS_IPS report (ufw rules); Network_Topology (LAN segmentation)</t>
  </si>
  <si>
    <t xml:space="preserve">Demonstrate interface down + UTM network-mode change with screenshots</t>
  </si>
  <si>
    <t xml:space="preserve">I3.2</t>
  </si>
  <si>
    <t xml:space="preserve">Evidence preservation: file system artifacts, network captures, memory dumps</t>
  </si>
  <si>
    <t xml:space="preserve">pcap replay via run_ids.sh; alert records quoted verbatim</t>
  </si>
  <si>
    <t xml:space="preserve">No file-system artifact collection or memory dump yet</t>
  </si>
  <si>
    <t xml:space="preserve">I3.3</t>
  </si>
  <si>
    <t xml:space="preserve">Containment playbook: host isolation, traffic blocking, service shutdown</t>
  </si>
  <si>
    <t xml:space="preserve">Methodology and IR Plan describe containment decisions (source block, isolation declined with reason)</t>
  </si>
  <si>
    <t xml:space="preserve">Standalone playbook with commands</t>
  </si>
  <si>
    <t xml:space="preserve">I4.1</t>
  </si>
  <si>
    <t xml:space="preserve">Live data collection: system state, processes, network connections</t>
  </si>
  <si>
    <t xml:space="preserve">Run and save ps/ss/lsof-style output on Kali</t>
  </si>
  <si>
    <t xml:space="preserve">I4.2</t>
  </si>
  <si>
    <t xml:space="preserve">Basic memory analysis with Volatility, performed and documented</t>
  </si>
  <si>
    <t xml:space="preserve">Capture memory, run Volatility, document</t>
  </si>
  <si>
    <t xml:space="preserve">I4.3</t>
  </si>
  <si>
    <t xml:space="preserve">Disk acquisition with imaging tools and proper procedures</t>
  </si>
  <si>
    <t xml:space="preserve">Image a VM disk, record hash</t>
  </si>
  <si>
    <t xml:space="preserve">I4.4</t>
  </si>
  <si>
    <t xml:space="preserve">Chain of custody documentation for all collected evidence</t>
  </si>
  <si>
    <t xml:space="preserve">Template Section D has 'where preserved' and 'integrity' columns</t>
  </si>
  <si>
    <t xml:space="preserve">A real custody form with hashes and handoffs</t>
  </si>
  <si>
    <t xml:space="preserve">I4.5</t>
  </si>
  <si>
    <t xml:space="preserve">Timeline combining macOS and Parrot OS logs with clear analysis</t>
  </si>
  <si>
    <t xml:space="preserve">Kali-only timeline in 0142</t>
  </si>
  <si>
    <t xml:space="preserve">Add macOS events (depends on I1.6)</t>
  </si>
  <si>
    <t xml:space="preserve">I5.1</t>
  </si>
  <si>
    <t xml:space="preserve">IR playbook: common incidents, tool-specific commands for Parrot OS, evidence steps</t>
  </si>
  <si>
    <t xml:space="preserve">Incident_Response_Plan.md; Methodology runbook</t>
  </si>
  <si>
    <t xml:space="preserve">Add Kali command-level steps</t>
  </si>
  <si>
    <t xml:space="preserve">I5.2</t>
  </si>
  <si>
    <t xml:space="preserve">Incident tracking system documenting details, actions, timeline</t>
  </si>
  <si>
    <t xml:space="preserve">Week 9 - Approval Buttons</t>
  </si>
  <si>
    <t xml:space="preserve">TheHive 5.2.16 case #142 with template tasks and audit timeline</t>
  </si>
  <si>
    <t xml:space="preserve">I5.3</t>
  </si>
  <si>
    <t xml:space="preserve">Complete incident report for 1 security event in a standard format</t>
  </si>
  <si>
    <t xml:space="preserve">IR report Part 3 (SOC-CASE-2026-0142)</t>
  </si>
  <si>
    <t xml:space="preserve">I5.4</t>
  </si>
  <si>
    <t xml:space="preserve">Documentation of all IR tools and procedures with usage explanations</t>
  </si>
  <si>
    <t xml:space="preserve">SOC_Operations.md tool section</t>
  </si>
  <si>
    <t xml:space="preserve">Add Volatility, Wireshark, imaging tool entries</t>
  </si>
  <si>
    <t xml:space="preserve">I6.1</t>
  </si>
  <si>
    <t xml:space="preserve">Recovery procedures: VM environment, OS recovery, network configuration</t>
  </si>
  <si>
    <t xml:space="preserve">Recovery section of Methodology (no restore needed in 0142)</t>
  </si>
  <si>
    <t xml:space="preserve">Document UTM snapshot restore + network config restore</t>
  </si>
  <si>
    <t xml:space="preserve">I6.2</t>
  </si>
  <si>
    <t xml:space="preserve">Root cause analysis: timeline, contributing factors, technical findings</t>
  </si>
  <si>
    <t xml:space="preserve">IR report sec. 3.9 (weak credential, password SSH enabled, no notification path)</t>
  </si>
  <si>
    <t xml:space="preserve">I6.3</t>
  </si>
  <si>
    <t xml:space="preserve">Recovery validation checklist with testing procedures</t>
  </si>
  <si>
    <t xml:space="preserve">None as a checklist</t>
  </si>
  <si>
    <t xml:space="preserve">Write checklist with pass/fail tests</t>
  </si>
  <si>
    <t xml:space="preserve">I6.4</t>
  </si>
  <si>
    <t xml:space="preserve">IR process improvement recommendations from lessons learned</t>
  </si>
  <si>
    <t xml:space="preserve">Findings I.1-I.9 with owners and dates</t>
  </si>
  <si>
    <t xml:space="preserve">Board additions: subitems that fold the rubrics into the existing weeks</t>
  </si>
  <si>
    <t xml:space="preserve">Add each row as a Subitem under the named parent on the Monday board (Status blank = not started, same as the existing board). Rubric IDs refer to the 'Rubric Checklist' sheet.</t>
  </si>
  <si>
    <t xml:space="preserve">Parent item (existing)</t>
  </si>
  <si>
    <t xml:space="preserve">Parent date</t>
  </si>
  <si>
    <t xml:space="preserve">New subitem (Name)</t>
  </si>
  <si>
    <t xml:space="preserve">Rubric IDs</t>
  </si>
  <si>
    <t xml:space="preserve">Deliverable / evidence to produce</t>
  </si>
  <si>
    <t xml:space="preserve">Confirm with instructor that Kali (UTM) + Dockerized Wazuh on the Mac substitutes for Parrot OS (VirtualBox)</t>
  </si>
  <si>
    <t xml:space="preserve">Written confirmation (email/Slack) saved with the project docs</t>
  </si>
  <si>
    <t xml:space="preserve">Write the containment playbook for Kali: isolate interface, block IPs, stop services, with an approval tier per action</t>
  </si>
  <si>
    <t xml:space="preserve">I3.3, I3.1</t>
  </si>
  <si>
    <t xml:space="preserve">Playbook .md with exact commands + screenshots of interface down and UTM network-mode change</t>
  </si>
  <si>
    <t xml:space="preserve">Configure alert routing + notification (Wazuh to TheHive, or email) and capture a test alert arriving</t>
  </si>
  <si>
    <t xml:space="preserve">ossec.conf excerpt + screenshot of the alert landing in TheHive/inbox</t>
  </si>
  <si>
    <t xml:space="preserve">Capture proof for custom rules 100002-100021: local_rules.xml, logtest output, dashboard hit</t>
  </si>
  <si>
    <t xml:space="preserve">M1.3, M1.5, I1.3</t>
  </si>
  <si>
    <t xml:space="preserve">3 screenshots per scenario (auth, Windows process/file, network)</t>
  </si>
  <si>
    <t xml:space="preserve">Reconcile docs with live config (SIEM_Implementation sec. 2 and 4.1; rule ID 100010 now used differently)</t>
  </si>
  <si>
    <t xml:space="preserve">M1.3, M1.4</t>
  </si>
  <si>
    <t xml:space="preserve">Corrected SIEM_Implementation.md that matches the running manager</t>
  </si>
  <si>
    <t xml:space="preserve">Enroll the macOS host as a Wazuh agent and confirm log ingestion</t>
  </si>
  <si>
    <t xml:space="preserve">I1.6, I2.1</t>
  </si>
  <si>
    <t xml:space="preserve">Agents page showing Kali, Windows 007 and macOS Active + a macOS event in Discover</t>
  </si>
  <si>
    <t xml:space="preserve">Write scripts/health_check.py (agent status, indexer cluster health, manager status, disk/RAM) and define alert baselines + thresholds</t>
  </si>
  <si>
    <t xml:space="preserve">M3.3, M3.4</t>
  </si>
  <si>
    <t xml:space="preserve">health_check.py output + baseline table (alerts/day per agent, failed logins per source)</t>
  </si>
  <si>
    <t xml:space="preserve">Add a health + metrics panel to the Streamlit dashboard (real-time security status)</t>
  </si>
  <si>
    <t xml:space="preserve">M4.4, M3.4</t>
  </si>
  <si>
    <t xml:space="preserve">Dashboard screenshot</t>
  </si>
  <si>
    <t xml:space="preserve">Write approve/reject decisions to the TheHive case timeline (incident tracking evidence)</t>
  </si>
  <si>
    <t xml:space="preserve">TheHive case showing the analyst decision with timestamp</t>
  </si>
  <si>
    <t xml:space="preserve">Re-run Hydra with the macOS agent live; correlate macOS + Kali events into one timeline</t>
  </si>
  <si>
    <t xml:space="preserve">I2.2, I4.5, I2.1</t>
  </si>
  <si>
    <t xml:space="preserve">Combined timeline table + annotated log excerpts</t>
  </si>
  <si>
    <t xml:space="preserve">Complete 2 more incident cases with Incident_Response_Template (e.g. CVE rule 23504, SCA 19005, Windows event 4738) and classify all 3 with the severity matrix</t>
  </si>
  <si>
    <t xml:space="preserve">M4.1, I2.3</t>
  </si>
  <si>
    <t xml:space="preserve">2 new case files + a 3-row severity classification table</t>
  </si>
  <si>
    <t xml:space="preserve">Live data collection on Kali (processes, connections, system state), pcap, file hashes, chain-of-custody form</t>
  </si>
  <si>
    <t xml:space="preserve">I4.1, I3.2, I4.4</t>
  </si>
  <si>
    <t xml:space="preserve">Saved command output, SHA-256 list, signed custody form</t>
  </si>
  <si>
    <t xml:space="preserve">Build the metrics table: operational (detect/declare/contain times), coverage (agents, MITRE techniques), effectiveness (accuracy, FP, FN)</t>
  </si>
  <si>
    <t xml:space="preserve">Metrics table with measurement method per row</t>
  </si>
  <si>
    <t xml:space="preserve">STRETCH: memory capture + Volatility analysis; disk image with an imaging tool</t>
  </si>
  <si>
    <t xml:space="preserve">I4.2, I4.3, I1.5, I3.2</t>
  </si>
  <si>
    <t xml:space="preserve">Volatility output + image hash</t>
  </si>
  <si>
    <t xml:space="preserve">Recovery procedures + validation checklist (UTM snapshot restore, network config restore)</t>
  </si>
  <si>
    <t xml:space="preserve">I6.1, I6.3</t>
  </si>
  <si>
    <t xml:space="preserve">Recovery section + checklist with pass/fail tests</t>
  </si>
  <si>
    <t xml:space="preserve">Tool-by-tool IR command appendix (Wazuh, TheHive, Wireshark, Volatility)</t>
  </si>
  <si>
    <t xml:space="preserve">I5.1, I5.4</t>
  </si>
  <si>
    <t xml:space="preserve">Appendix with command, purpose, example output</t>
  </si>
  <si>
    <t xml:space="preserve">2-page report using indexer alert counts by day/rule</t>
  </si>
  <si>
    <t xml:space="preserve">Sign-off: every row on Rubric Checklist is Done and has an evidence link</t>
  </si>
  <si>
    <t xml:space="preserve">All</t>
  </si>
  <si>
    <t xml:space="preserve">Rubric Summary shows 100%</t>
  </si>
  <si>
    <t xml:space="preserve">Updates</t>
  </si>
  <si>
    <t xml:space="preserve">Item ID</t>
  </si>
  <si>
    <t xml:space="preserve">Item Name</t>
  </si>
  <si>
    <t xml:space="preserve">Content Type</t>
  </si>
  <si>
    <t xml:space="preserve">User</t>
  </si>
  <si>
    <t xml:space="preserve">Created At</t>
  </si>
  <si>
    <t xml:space="preserve">Update Content</t>
  </si>
  <si>
    <t xml:space="preserve">Likes Count</t>
  </si>
  <si>
    <t xml:space="preserve">Asset IDs</t>
  </si>
  <si>
    <t xml:space="preserve">Post ID</t>
  </si>
  <si>
    <t xml:space="preserve">Parent Post ID</t>
  </si>
  <si>
    <t xml:space="preserve">Update</t>
  </si>
  <si>
    <t xml:space="preserve">05/August/2026  04:32:28 PM</t>
  </si>
  <si>
    <t xml:space="preserve">Description
-----------
Create a second FastAPI application that serves SIEM events. Implement endpoints to retrieve alerts, search historical events, and filter by user, host, or severity.
Example endpoints:
GET /events
GET /events/user/{username}
GET /events/host/{hostname}
GET /events/severity/{level}
Deliverable
* Working SIEM API
* Database integration
* Search functionality</t>
  </si>
  <si>
    <t xml:space="preserve">5435262661</t>
  </si>
  <si>
    <t xml:space="preserve">05/August/2026  04:30:32 PM</t>
  </si>
  <si>
    <t xml:space="preserve">Description
-----------
Study the structure of SIEM events and define your own simplified event format. Include timestamps, hostnames, usernames, event IDs, event types, severity, MITRE ATT&amp;CK references, and descriptions. Populate PostgreSQL with baseline events.
Deliverable
* SIEM event schema
* Event database
* Baseline event dataset</t>
  </si>
  <si>
    <t xml:space="preserve">5435254530</t>
  </si>
  <si>
    <t xml:space="preserve">05/August/2026  04:35:12 PM</t>
  </si>
  <si>
    <t xml:space="preserve">Description
-----------
Test everything built during the first three weeks. Verify that PostgreSQL stores data correctly, the Identity API returns expected results, and the SIEM API can query historical events. Clean up project folders, remove unused code, update the README, and commit a stable milestone version.
Deliverable
* Identity API complete
* SIEM API complete
* PostgreSQL populated
* Stable project milestone
* Updated documentation</t>
  </si>
  <si>
    <t xml:space="preserve">5435272317</t>
  </si>
  <si>
    <t xml:space="preserve">05/August/2026  04:33:35 PM</t>
  </si>
  <si>
    <t xml:space="preserve">Description
-----------
Extend your synthetic data generator to create realistic security events that correspond to your four attack scenarios. Ensure events appear in chronological order and can later be correlated with identity and endpoint information.
Deliverable
* Historical SIEM events
* Attack-related logs
* Correlated event timeline</t>
  </si>
  <si>
    <t xml:space="preserve">5435266490</t>
  </si>
  <si>
    <t xml:space="preserve">05/August/2026  04:38:19 PM</t>
  </si>
  <si>
    <t xml:space="preserve">Description
-----------
Study what endpoint detection platforms monitor. Design your own simplified endpoint telemetry schema.
Each endpoint should have:
* Hostname
* Username
* Operating System
* Running Processes
* Network Connections
* Parent/Child Processes
* File Activity
* Risk Score
Create PostgreSQL tables to store endpoint activity.
Deliverables
* PostgreSQL EDR tables
* Endpoint schema
* Initial documentation</t>
  </si>
  <si>
    <t xml:space="preserve">5435289131</t>
  </si>
  <si>
    <t xml:space="preserve">05/August/2026  04:40:43 PM</t>
  </si>
  <si>
    <t xml:space="preserve">Description
-----------
Create the third FastAPI application.
Example endpoints:
GET /devices
GET /devices/{hostname}
GET /devices/{hostname}/processes
GET /devices/{hostname}/connections
Return PostgreSQL data instead of placeholder JSON.
Deliverables
* Working EDR API
* PostgreSQL integration
* API documentation</t>
  </si>
  <si>
    <t xml:space="preserve">5435298816</t>
  </si>
  <si>
    <t xml:space="preserve">05/August/2026  04:41:57 PM</t>
  </si>
  <si>
    <t xml:space="preserve">Description
-----------
Run all three APIs simultaneously.
Verify:
Identity API
↓
SIEM API
↓
EDR API
Confirm each API returns valid JSON.
Test every endpoint using Swagger.
Fix bugs.
Organize folders.
Commit milestone.
Deliverables
Identity API
SIEM API
EDR API
PostgreSQL connected</t>
  </si>
  <si>
    <t xml:space="preserve">5435302737</t>
  </si>
  <si>
    <t xml:space="preserve">05/August/2026  04:39:03 PM</t>
  </si>
  <si>
    <t xml:space="preserve">Description
-----------
Create Python scripts that generate realistic endpoint activity.
Examples:
* Chrome launches
* Outlook launches
* PowerShell execution
* CMD execution
* Network connections
* File downloads
* USB insertions
Inject suspicious behavior for your four attack scenarios.
Deliverables
* Endpoint dataset
* Synthetic telemetry generator
* Attack behaviors</t>
  </si>
  <si>
    <t xml:space="preserve">5435292972</t>
  </si>
  <si>
    <t xml:space="preserve">05/August/2026  04:10:45 PM</t>
  </si>
  <si>
    <t xml:space="preserve">Description
-----------
Set up the entire development environment from scratch. Create the Git repository, Python virtual environment, install all required packages, and initialize PostgreSQL. Create the project's folder structure (agent, APIs, database, frontend, docs, tests). Verify that PostgreSQL is running and that Python can successfully connect to it. Finish by making the first Git commit.
Deliverable
* Working virtual environment
* PostgreSQL running
* Project folder structure
* Initial Git repository</t>
  </si>
  <si>
    <t xml:space="preserve">5435152996</t>
  </si>
  <si>
    <t xml:space="preserve">Reply</t>
  </si>
  <si>
    <t xml:space="preserve">10/September/2026  04:54:14 PM</t>
  </si>
  <si>
    <t xml:space="preserve">The SIEM pillar is no longer a locally simulated Splunk/FastAPI mock. It is replaced by
**the real Wazuh 4.14.7 single-node deployment already running in this project's SOC lab**
(Docker, hosted on the development Mac).
Wazuh is now **both** the alert source (where detections originate) **and** the historical
evidence pillar (SIEM history queries). Alert ingestion switches from a hand-fed
Splunk-ES-shaped JSON file to live pulls file to live pulls from the Wazuh API.</t>
  </si>
  <si>
    <t xml:space="preserve">5537043117</t>
  </si>
  <si>
    <t xml:space="preserve">05/August/2026  04:11:39 PM</t>
  </si>
  <si>
    <t xml:space="preserve">Description
-----------
Study how SOC alerts are structured and design the JSON format your project will accept. Define fields such as alert ID, timestamp, username, hostname, source IP, destination IP, severity, alert type, and description. Create several sample alert JSON files that will be used throughout the project.
Deliverable
* Final alert JSON schema
* Five sample alerts
* JSON validation completed</t>
  </si>
  <si>
    <t xml:space="preserve">5435156387</t>
  </si>
  <si>
    <t xml:space="preserve">05/August/2026  04:17:19 PM</t>
  </si>
  <si>
    <t xml:space="preserve">Description
-----------
Install FastAPI and Uvicorn. Build your first API application, create GET endpoints, understand decorators, automatic documentation, and JSON responses. Learn how to test endpoints using the built-in Swagger interface.
Deliverable
* First FastAPI application
* Three working endpoints
* Swagger documentation accessible</t>
  </si>
  <si>
    <t xml:space="preserve">5435185307</t>
  </si>
  <si>
    <t xml:space="preserve">05/August/2026  04:21:31 PM</t>
  </si>
  <si>
    <t xml:space="preserve">Description
-----------
Create the Identity microservice. Define the API routes you expect the AI agent to use later, such as retrieving a user profile, login history, and MFA status. Use placeholder data for now to verify the API structure.
Example endpoints:
GET /users/{username}
GET /users/{username}/logins
GET /users/{username}/mfa Deliverable
* Identity API running
* Three working endpoints
* Placeholder responses</t>
  </si>
  <si>
    <t xml:space="preserve">5435201449</t>
  </si>
  <si>
    <t xml:space="preserve">10/September/2026  04:02:39 PM</t>
  </si>
  <si>
    <t xml:space="preserve">Instead of building everything entirely from scratch, Wazuh is being utilized with simple login, note admin privileges are required via a DAE staff member.
</t>
  </si>
  <si>
    <t xml:space="preserve">3239653441</t>
  </si>
  <si>
    <t xml:space="preserve">5536829367</t>
  </si>
  <si>
    <t xml:space="preserve">05/August/2026  04:24:57 PM</t>
  </si>
  <si>
    <t xml:space="preserve">Description
-----------
Learn how FastAPI uses Pydantic for validation. Create models for users, login events, MFA settings, and user privileges. Understand request validation and response models.
Deliverable
* User model
* Login model
* MFA model
* Validation working</t>
  </si>
  <si>
    <t xml:space="preserve">5435222482</t>
  </si>
  <si>
    <t xml:space="preserve">05/August/2026  04:26:11 PM</t>
  </si>
  <si>
    <t xml:space="preserve">Description
-----------
Create Python scripts that generate realistic user accounts. Each user should include usernames, departments, managers, privilege levels, login history, MFA settings, and locations. Save this data in PostgreSQL.
Deliverable
* 50–100 synthetic users
* Database populated
* Data generation script</t>
  </si>
  <si>
    <t xml:space="preserve">5435226641</t>
  </si>
  <si>
    <t xml:space="preserve">05/August/2026  04:27:10 PM</t>
  </si>
  <si>
    <t xml:space="preserve">Description
-----------
Replace placeholder responses with live database queries. Learn SQLAlchemy (or another PostgreSQL library you choose) to retrieve user information from PostgreSQL. Verify all Identity API endpoints return real data.
Deliverable
* Database connection
* Live API queries
* Identity API fully connected</t>
  </si>
  <si>
    <t xml:space="preserve">5435231027</t>
  </si>
  <si>
    <t xml:space="preserve">14/September/2026  04:20:37 PM</t>
  </si>
  <si>
    <t xml:space="preserve">Not necessarily needed for the minimum value product/project</t>
  </si>
  <si>
    <t xml:space="preserve">5545656198</t>
  </si>
  <si>
    <t xml:space="preserve">05/August/2026  04:27:57 PM</t>
  </si>
  <si>
    <t xml:space="preserve">Description
-----------
Write functions that inject realistic attack behaviors into user accounts. Implement four scenarios:
* Credential stuffing
* Brute-force attack
* Phishing compromise
* Ransomware precursor
Each scenario should modify login history and account activity so the AI agent has something meaningful to investigate later.
Deliverable
* Four attack generators
* Realistic synthetic attack data</t>
  </si>
  <si>
    <t xml:space="preserve">5435235192</t>
  </si>
  <si>
    <t xml:space="preserve">05/August/2026  04:43:31 PM</t>
  </si>
  <si>
    <t xml:space="preserve">Finish the last mock service (EDR). By the end of this week you'll have three complete backend services that simulate a real SOC environment.</t>
  </si>
  <si>
    <t xml:space="preserve">5435307848</t>
  </si>
  <si>
    <t xml:space="preserve">05/August/2026  04:48:36 PM</t>
  </si>
  <si>
    <t xml:space="preserve">Description
-----------
Install:
* LangChain
* LangGraph
Learn:
* Nodes
* Edges
* State
* Tool calling
* Workflow execution
Create a simple graph that prints:
Start
↓
Investigate
↓
Finish
Don't connect any APIs yet.
Deliverables
* First LangGraph workflow
* Working StateGraph</t>
  </si>
  <si>
    <t xml:space="preserve">5435325620</t>
  </si>
  <si>
    <t xml:space="preserve">Abhinav Piratla</t>
  </si>
  <si>
    <t xml:space="preserve">14/September/2026  04:01:51 PM</t>
  </si>
  <si>
    <t xml:space="preserve">3246262773, 3246262800</t>
  </si>
  <si>
    <t xml:space="preserve">5545568935</t>
  </si>
  <si>
    <t xml:space="preserve">14/September/2026  04:02:04 PM</t>
  </si>
  <si>
    <t xml:space="preserve">@Kyrell Green Let me know if you cannot access it</t>
  </si>
  <si>
    <t xml:space="preserve">5545569842</t>
  </si>
  <si>
    <t xml:space="preserve">05/August/2026  04:50:39 PM</t>
  </si>
  <si>
    <t xml:space="preserve">Description
-----------
Design the information that moves through the graph.
Example state:
alert
identity_context
siem_context
edr_context
timeline
report
recommendation
Create your first TypedDict (or Pydantic model) for graph state.
Deliverables
* Investigation State
* Graph schema
</t>
  </si>
  <si>
    <t xml:space="preserve">5435333588</t>
  </si>
  <si>
    <t xml:space="preserve">05/August/2026  04:52:11 PM</t>
  </si>
  <si>
    <t xml:space="preserve">Description
-----------
Create the AI supervisor.
Its only job:
Receive an alert
↓
Determine
"What information do I need?"
For now the supervisor only returns a list.
Example:
Investigate Identity
Investigate SIEM
Investigate EDR
No tool calling yet.
Deliverables
* Supervisor node
* Investigation planning</t>
  </si>
  <si>
    <t xml:space="preserve">5435339485</t>
  </si>
  <si>
    <t xml:space="preserve">05/August/2026  04:53:39 PM</t>
  </si>
  <si>
    <t xml:space="preserve">Description
-----------
Connect the Identity API.
The supervisor now actually requests identity information.
Flow:
Alert
↓
Supervisor
↓
Identity API
↓
Receive response
↓
Print result
Deliverables
* First LangGraph tool
* Identity lookup working</t>
  </si>
  <si>
    <t xml:space="preserve">5435344411</t>
  </si>
  <si>
    <t xml:space="preserve">05/August/2026  04:55:26 PM</t>
  </si>
  <si>
    <t xml:space="preserve">Introduce AI into the project.
This week you're learning LangGraph while keeping the workflow simple.</t>
  </si>
  <si>
    <t xml:space="preserve">5435350399</t>
  </si>
  <si>
    <t xml:space="preserve">16/September/2026  06:31:01 PM</t>
  </si>
  <si>
    <t xml:space="preserve">Implementing course rubric to fit into the project, Security Operations Center1: Prepare SOC Operations Documentation, Document SIEM Implementation, Document Threat Detection Principles, Document Incident Response Methodology. Cybersecurity Basics1: Create an Incident Response Plan, Develop a Comprehensive Security Policy, Apply Encryption Techniques, Demonstrate Legal and Ethical Compliance.</t>
  </si>
  <si>
    <t xml:space="preserve">5553664637</t>
  </si>
  <si>
    <t xml:space="preserve">05/August/2026  04:56:20 PM</t>
  </si>
  <si>
    <t xml:space="preserve">Description
-----------
Create another LangGraph tool.
The supervisor should now call the SIEM API.
Retrieve:
* Historical alerts
* Failed logins
* User activity
* Host activity
Deliverables
* SIEM tool connected</t>
  </si>
  <si>
    <t xml:space="preserve">5435353545</t>
  </si>
  <si>
    <t xml:space="preserve">05/August/2026  04:59:20 PM</t>
  </si>
  <si>
    <t xml:space="preserve">Description
-----------
Create the third tool.
Retrieve endpoint telemetry.
Examples:
Running processes
Network connections
Suspicious activity
Now your graph should gather information from:
Identity
* SIEM
* EDR
Deliverables
* EDR tool
* Three tools connected</t>
  </si>
  <si>
    <t xml:space="preserve">5435364790</t>
  </si>
  <si>
    <t xml:space="preserve">05/August/2026  05:01:12 PM</t>
  </si>
  <si>
    <t xml:space="preserve">Description
-----------
Take the outputs from all three APIs.
Merge them into a chronological timeline.
Example:
08:00
Failed Login
↓
08:05
VPN Login
↓
08:07
PowerShell launched
↓
08:10
Outbound Connection
Don't worry about AI summaries yet.
Focus only on chronology.
Deliverables
* Timeline builder
* Unified investigation object</t>
  </si>
  <si>
    <t xml:space="preserve">5435372960</t>
  </si>
  <si>
    <t xml:space="preserve">05/August/2026  05:10:39 PM</t>
  </si>
  <si>
    <t xml:space="preserve">Description
-----------
Run a complete alert.
Example:
Alert arrives
↓
Supervisor analyzes alert
↓
Calls Identity API
↓
Calls SIEM API
↓
Calls EDR API
↓
Creates timeline
↓
Print investigation
This is the first time your project behaves like an investigation engine.
Debug everything.
Refactor messy code.
Commit.
Deliverables
Three APIs connected
LangGraph Supervisor
Tool calling
Automated investigation</t>
  </si>
  <si>
    <t xml:space="preserve">5435414995</t>
  </si>
  <si>
    <t xml:space="preserve">05/August/2026  05:03:37 PM</t>
  </si>
  <si>
    <t xml:space="preserve">Turn the workflow into an actual investigation.</t>
  </si>
  <si>
    <t xml:space="preserve">5435382769</t>
  </si>
  <si>
    <t xml:space="preserve">05/August/2026  05:59:51 PM</t>
  </si>
  <si>
    <t xml:space="preserve">Transform raw evidence into a coherent security investigation by correlating data from all three sources and mapping it to MITRE ATT&amp;CK techniques.</t>
  </si>
  <si>
    <t xml:space="preserve">5435667996</t>
  </si>
  <si>
    <t xml:space="preserve">05/August/2026  06:00:48 PM</t>
  </si>
  <si>
    <t xml:space="preserve">Description
-----------
Right now, your Identity API, SIEM API, and EDR API each return separate pieces of information. Your goal today is to design a single Python object that combines them into one investigation.
Create a unified structure that contains:
* Original alert
* Identity findings
* SIEM findings
* EDR findings
* Timeline events
* Risk indicators
Think of this as the "case file" that every later step will use.
Deliverables
* Investigation data model
* Unified case object
* Documentation of investigation flow</t>
  </si>
  <si>
    <t xml:space="preserve">5435672399</t>
  </si>
  <si>
    <t xml:space="preserve">05/August/2026  06:01:59 PM</t>
  </si>
  <si>
    <t xml:space="preserve">Description
-----------
Write Python logic that merges findings from the three APIs.
Example:
Alert:
Impossible Travel
↓
Identity:
12 failed logins
↓
SIEM:
VPN login from Germany
↓
EDR:
PowerShell executed
↓
One Investigation
Your goal is not AI reasoning yet—just combining related evidence.
Deliverables
* Correlation function
* Merged investigation
* Single investigation object</t>
  </si>
  <si>
    <t xml:space="preserve">5435680040</t>
  </si>
  <si>
    <t xml:space="preserve">05/August/2026  06:03:40 PM</t>
  </si>
  <si>
    <t xml:space="preserve">Description
-----------
Create a simple rule-based mapping system.
For example:
Credential Stuffing
↓
Credential Access
↓
T1110
Another example:
PowerShell
↓
Execution
↓
T1059
Start with only the techniques needed for your four attack scenarios.
Do not try to implement the entire ATT&amp;CK framework.
Deliverables
* ATT&amp;CK lookup table
* Rule-based mapper
* Technique tags</t>
  </si>
  <si>
    <t xml:space="preserve">5435685997</t>
  </si>
  <si>
    <t xml:space="preserve">05/August/2026  06:04:44 PM</t>
  </si>
  <si>
    <t xml:space="preserve">Description
-----------
Run all four attack scenarios.
Verify:
* Timeline is correct
* Correlation works
* ATT&amp;CK mapping is accurate
* No duplicate events appear
Fix any inconsistencies.
Commit milestone.
Deliverables
Four scenarios working
ATT&amp;CK mapped
Correlation complete</t>
  </si>
  <si>
    <t xml:space="preserve">5435689801</t>
  </si>
  <si>
    <t xml:space="preserve">05/August/2026  06:07:00 PM</t>
  </si>
  <si>
    <t xml:space="preserve">Teach the AI to explain investigations the way a SOC analyst would write them.</t>
  </si>
  <si>
    <t xml:space="preserve">5435698781</t>
  </si>
  <si>
    <t xml:space="preserve">05/August/2026  06:09:33 PM</t>
  </si>
  <si>
    <t xml:space="preserve">Description
-----------
Before involving the LLM, define the report structure.
Suggested sections:
Alert Summary
Investigation Timeline
Identity Findings
SIEM Findings
Endpoint Findings
MITRE ATT&amp;CK
Think about what information a Tier 1 analyst needs at a glance.
Deliverables
* Report template
* Report data model
</t>
  </si>
  <si>
    <t xml:space="preserve">5435709713</t>
  </si>
  <si>
    <t xml:space="preserve">05/August/2026  06:11:42 PM</t>
  </si>
  <si>
    <t xml:space="preserve">Description
-----------
Connect the investigation object to your LLM.
The model should generate:
* Executive summary
* What happened
* Why it's suspicious
* Recommended next steps
Keep prompts focused and structured.
Deliverables
* AI-generated summary
* Prompt template
* Structured output</t>
  </si>
  <si>
    <t xml:space="preserve">5435717523</t>
  </si>
  <si>
    <t xml:space="preserve">05/August/2026  06:12:59 PM</t>
  </si>
  <si>
    <t xml:space="preserve">Description
-----------
Every decision the agent makes should be recorded.
Log things like:
Identity lookup requested
↓
Found 12 failed logins
↓
Queried SIEM
↓
Detected impossible travel
↓
Queried EDR
↓
Found PowerShell execution
Store these logs in PostgreSQL so they can be reviewed later.
Deliverables
* Investigation log table
* Decision logging
* PostgreSQL integration</t>
  </si>
  <si>
    <t xml:space="preserve">5435721940</t>
  </si>
  <si>
    <t xml:space="preserve">05/August/2026  06:14:55 PM</t>
  </si>
  <si>
    <t xml:space="preserve">Description
-----------
Run the complete workflow.
Alert
↓
Supervisor
↓
Identity
↓
SIEM
↓
EDR
↓
Correlation
↓
ATT&amp;CK
↓
AI Report
↓
Logs
This is your first complete investigation pipeline.
Fix bugs.
Refactor code.
Commit.
Deliverables
Complete investigation workflow
AI-generated report
Investigation logs</t>
  </si>
  <si>
    <t xml:space="preserve">5435729662</t>
  </si>
  <si>
    <t xml:space="preserve">05/August/2026  06:16:15 PM</t>
  </si>
  <si>
    <t xml:space="preserve">Finish the SOC analyst experience by ensuring the AI can recommend—but never execute—containment actions.</t>
  </si>
  <si>
    <t xml:space="preserve">5435735931</t>
  </si>
  <si>
    <t xml:space="preserve">05/August/2026  06:17:28 PM</t>
  </si>
  <si>
    <t xml:space="preserve">Description
-----------
Decide which actions require analyst approval.
Examples:
* Disable user account
* Isolate endpoint
* Escalate incident
* Close investigation
Create a simple approval state.
Possible values:
Pending
Approved
Rejected
Deliverables
* Approval model
* Workflow diagram</t>
  </si>
  <si>
    <t xml:space="preserve">5435741690</t>
  </si>
  <si>
    <t xml:space="preserve">05/August/2026  06:19:07 PM</t>
  </si>
  <si>
    <t xml:space="preserve">Description
-----------
Modify your LangGraph workflow.
Instead of ending after the report, it should pause.
New flow:
Report Generated
↓
Recommendation
↓
Wait For Analyst
↓
Approved or Rejected
No action should continue until a decision is made.
Deliverables
* Approval node
* LangGraph pause
* Resume workflow</t>
  </si>
  <si>
    <t xml:space="preserve">5435749464</t>
  </si>
  <si>
    <t xml:space="preserve">05/August/2026  06:20:43 PM</t>
  </si>
  <si>
    <t xml:space="preserve">Description
-----------
Before building the dashboard, create a simple command-line interface.
The analyst should be able to:
* View report
* View timeline
* View ATT&amp;CK techniques
* Approve
* Reject
Keep it simple.
Deliverables
* CLI interface
* Approval interaction</t>
  </si>
  <si>
    <t xml:space="preserve">5435755457</t>
  </si>
  <si>
    <t xml:space="preserve">05/August/2026  06:22:01 PM</t>
  </si>
  <si>
    <t xml:space="preserve">Description
-----------
Attempt to "break" your workflow.
Test questions like:
* Can the AI skip approval?
* What if the recommendation is empty?
* What if PostgreSQL is unavailable?
* What if an API returns no data?
* What if the alert is malformed?
Document failures and fix them.
Commit milestone.
Deliverables
Approval gate
CLI analyst interface
Security testing</t>
  </si>
  <si>
    <t xml:space="preserve">5435761375</t>
  </si>
  <si>
    <t xml:space="preserve">05/August/2026  06:25:23 PM</t>
  </si>
  <si>
    <t xml:space="preserve">Replace the command-line interface with a simple SOC analyst dashboard using Streamlit.
By the end of this week, you'll have something that looks like a real SOC application.</t>
  </si>
  <si>
    <t xml:space="preserve">5435774459</t>
  </si>
  <si>
    <t xml:space="preserve">05/August/2026  06:27:02 PM</t>
  </si>
  <si>
    <t xml:space="preserve">Description
-----------
Install Streamlit and build your first application.
Learn how to create:
* Headers
* Buttons
* Sidebars
* Tables
* JSON viewers
* Session state
Don't connect anything yet.
Focus only on understanding Streamlit.
Example layout:
AI SOC Dashboard
Alert Queue
Investigation Report
Timeline
Approve / Reject
Deliverables
* Streamlit installed
* First dashboard
* Basic layout completed</t>
  </si>
  <si>
    <t xml:space="preserve">5435781909</t>
  </si>
  <si>
    <t xml:space="preserve">05/August/2026  06:27:55 PM</t>
  </si>
  <si>
    <t xml:space="preserve">Description
-----------
Display alerts stored in PostgreSQL.
Each alert should show:
* Alert ID
* Severity
* User
* Host
* Status
* Time
Allow the analyst to select an alert.
When selected:
Run Investigation
Deliverables
* Alert table
* Alert selection
* PostgreSQL integration</t>
  </si>
  <si>
    <t xml:space="preserve">5435785484</t>
  </si>
  <si>
    <t xml:space="preserve">05/August/2026  06:28:47 PM</t>
  </si>
  <si>
    <t xml:space="preserve">Description
-----------
Connect your investigation engine.
Once an investigation completes, display:
* Alert Summary
* Timeline
* Identity Findings
* SIEM Findings
* Endpoint Findings
* MITRE ATT&amp;CK
* AI Summary
Everything should now be visible inside Streamlit.
Deliverables
* Investigation viewer
* Timeline display
* Report display</t>
  </si>
  <si>
    <t xml:space="preserve">5435788481</t>
  </si>
  <si>
    <t xml:space="preserve">05/August/2026  06:32:09 PM</t>
  </si>
  <si>
    <t xml:space="preserve">Description
-----------
Replace the CLI approval.
Create two buttons.
Approve
Reject
Store analyst decisions in PostgreSQL.
Display investigation status.
Example:
Pending
↓
Approved
↓
Closed
Deliverables
✅ Complete dashboard
✅ Investigation viewer
✅ Approval buttons</t>
  </si>
  <si>
    <t xml:space="preserve">5435800761</t>
  </si>
  <si>
    <t xml:space="preserve">05/August/2026  06:34:16 PM</t>
  </si>
  <si>
    <t xml:space="preserve">Treat your project like a real security product.
Measure how well it performs.</t>
  </si>
  <si>
    <t xml:space="preserve">5435809676</t>
  </si>
  <si>
    <t xml:space="preserve">05/August/2026  06:35:05 PM</t>
  </si>
  <si>
    <t xml:space="preserve">Description
-----------
Create a large collection of alerts.
Suggested distribution:
* 10 Credential Stuffing
* 10 Brute Force
* 10 Phishing
* 10 Ransomware Precursors
* 10 Benign Alerts
Store labels in PostgreSQL.
This becomes your "ground truth."
Deliverables
* 50 labeled alerts
* Test dataset</t>
  </si>
  <si>
    <t xml:space="preserve">5435812427</t>
  </si>
  <si>
    <t xml:space="preserve">05/August/2026  06:36:22 PM</t>
  </si>
  <si>
    <t xml:space="preserve">Description
-----------
Run every alert through your investigation engine.
Record:
* Investigation completed?
* Correct ATT&amp;CK?
* Correct recommendation?
* Processing time
Save results.
Deliverables
* Evaluation results
* Processing times</t>
  </si>
  <si>
    <t xml:space="preserve">5435817488</t>
  </si>
  <si>
    <t xml:space="preserve">05/August/2026  06:37:46 PM</t>
  </si>
  <si>
    <t xml:space="preserve">Description
-----------
Calculate:
* Detection Accuracy
* False Positives
* False Negatives
* Average Investigation Time
* Average Report Generation Time
Create a simple evaluation summary.
Example:
Accuracy
92%
Average Investigation
7.4 seconds
False Positives
3
False Negatives
2
(These numbers are examples—you'll use whatever your actual results are.)
Deliverables
* Evaluation report
* Metrics summary</t>
  </si>
  <si>
    <t xml:space="preserve">5435822521</t>
  </si>
  <si>
    <t xml:space="preserve">05/August/2026  06:39:37 PM</t>
  </si>
  <si>
    <t xml:space="preserve">Description
-----------
Review failures.
Ask:
Why did the AI make this decision?
Can prompts improve?
Can rules improve?
Can correlation improve?
Spend today improving quality rather than adding features.
Commit.
Deliverables
Better prompts
Better correlation
Improved accuracy</t>
  </si>
  <si>
    <t xml:space="preserve">5435829424</t>
  </si>
  <si>
    <t xml:space="preserve">05/August/2026  06:43:11 PM</t>
  </si>
  <si>
    <t xml:space="preserve">Transform your project from "finished" into something you're proud to demonstrate in interviews.</t>
  </si>
  <si>
    <t xml:space="preserve">5435843556</t>
  </si>
  <si>
    <t xml:space="preserve">05/August/2026  06:44:18 PM</t>
  </si>
  <si>
    <t xml:space="preserve">Description
-----------
Create:
* README
* Installation Guide
* Project Overview
* Folder Structure
* Architecture Diagram
* API Documentation
* Database Schema
* How to Run
Think of this as documentation for another developer joining your project.
Deliverables
* Complete README
* Technical documentation</t>
  </si>
  <si>
    <t xml:space="preserve">5435847468</t>
  </si>
  <si>
    <t xml:space="preserve">05/August/2026  06:45:36 PM</t>
  </si>
  <si>
    <t xml:space="preserve">Description
-----------
Record a 5–10 minute walkthrough.
Suggested flow:
Receive Alert
↓
Run Investigation
↓
Timeline Created
↓
ATT&amp;CK Mapping
↓
AI Report
↓
Approve
↓
Close Alert
Explain what the AI is doing at each stage.
Deliverables
* Demo video
* Demo script</t>
  </si>
  <si>
    <t xml:space="preserve">5435852490</t>
  </si>
  <si>
    <t xml:space="preserve">05/August/2026  06:46:18 PM</t>
  </si>
  <si>
    <t xml:space="preserve">Description
-----------
Write a case study that answers:
* What problem does this solve?
* Why did you build it?
* Architecture
* Technologies used
* Challenges encountered
* Lessons learned
* Results (using your measured metrics)
Include screenshots from your dashboard.
Deliverables
* Portfolio article
* Project screenshots</t>
  </si>
  <si>
    <t xml:space="preserve">5435855133</t>
  </si>
  <si>
    <t xml:space="preserve">05/August/2026  06:47:19 PM</t>
  </si>
  <si>
    <t xml:space="preserve">Description
-----------
Perform one last review.
Verify:
* PostgreSQL works
* APIs run correctly
* Dashboard works
* LangGraph functions correctly
* Documentation is complete
* GitHub repository is clean
Tag the repository as Version 1.0.
Celebrate—you've finished the project.
Deliverables
Version 1.0
GitHub repository
Documentation
Dashboard
Demo
Portfolio case study</t>
  </si>
  <si>
    <t xml:space="preserve">5435858629</t>
  </si>
  <si>
    <t xml:space="preserve">02/September/2026  06:27:40 PM</t>
  </si>
  <si>
    <t xml:space="preserve">The Wazuh setup with Docker was complete with a UTM VM, indexer, manager, server and dashboard. The only thing left was to deploy an agent, which is where I left off last Thursday, and this was evident when loading the program. However it appears the manager container is crash looping.
</t>
  </si>
  <si>
    <t xml:space="preserve">3222314316</t>
  </si>
  <si>
    <t xml:space="preserve">5514723528</t>
  </si>
  <si>
    <t xml:space="preserve">02/September/2026  04:49:38 PM</t>
  </si>
  <si>
    <t xml:space="preserve">An issue I came across multiple times was limited RAM on the host machines used while off campus, VM's used were an apple silicon laptop with UTM while in class. My Laptop Tablet with 3.98 GB of available RAM, even running a headless ubuntu 22.04 could not handle the docker containers necessary for the installation of Wazuh. I tried to install this on an old beater laptop with linux mint 19-22 and RAM was still a contributing factor... To circumvent this I asked Claude If it was possible to add external storage. Below is the full exchange of information.
Good instinct on the storage side — but it's worth separating the two problems, because an SD card only helps one of them.
---------------------------------------------
What an SD card via USB-C can fix: disk space
---------------------------------------------
Yes, this works for the earlier VERR_DISK_FULL error. You could:
* Plug in a USB-C SD card reader with a decent-sized card (64GB+ ideally)
* Either move the VM's whole virtual disk (.vdi/.vhd file) onto it, or create a new virtual disk located on the SD card and attach it to the VM
* This gives Wazuh's containers/volumes room to actually write data without hitting disk-full errors
Caveat: SD cards are typically much slower than an internal SSD/HDD (especially for random I/O, which is exactly what a database like the Wazuh indexer does constantly). It'll work, but expect it to feel sluggish — a Java/OpenSearch data store hammering a slow SD card is not a great pairing. USB 3.x + a fast UHS-II card mitigates this somewhat; a basic USB 2.0 reader with a slow card would be rough.
-------------------------------
What an SD card cannot fix: RAM
-------------------------------
This is the more important point — the 3.9GB physical RAM ceiling and the disk space problem are unrelated. An SD card adds storage capacity, not memory. The indexer got OOM-killed because there wasn't enough RAM, not because it ran out of disk at that moment (that was a separate, earlier error). Even with unlimited disk space via SD card, the indexer will still fight for memory and likely get killed again once you're under real load.
-----------
Bottom line
-----------
An SD card is a legitimate fix for the storage half of this, and worth doing regardless. But it won't unblock you on its own — you'd still be stuck on the RAM ceiling for getting the indexer stable. If you want to keep going with local VirtualBox, you'd need both: SD card for storage, and either physical RAM upgrade or drastically closing everything else on the host to squeeze out more MB for the VM.
Given the RAM constraint is the harder blocker, is upgrading physical RAM on this machine on the table, or would you rather look at the cloud VM route to sidestep the hardware limits entirely?
With that confirmed I have 2 options, use my p/c or the apple silicon based laptop of which both devices are restricted to designated areas.</t>
  </si>
  <si>
    <t xml:space="preserve">3221995106</t>
  </si>
  <si>
    <t xml:space="preserve">5514273666</t>
  </si>
  <si>
    <t xml:space="preserve">24/August/2026  03:34:11 PM</t>
  </si>
  <si>
    <t xml:space="preserve">This week I familiarized myself with setting up a Virtual Machine specifically Oracle, running ubuntu-24.04.4, and Wuzah a free open-source security platform that unifies security information and enviroment management and extended detection and response.</t>
  </si>
  <si>
    <t xml:space="preserve">5486273821</t>
  </si>
  <si>
    <t xml:space="preserve">Elumedon Iweriebor</t>
  </si>
  <si>
    <t xml:space="preserve">18/September/2026  01:23:45 AM</t>
  </si>
  <si>
    <t xml:space="preserve">Hi @Kyrell Green Important reminder: please add the status update line item to your board, we won't be adding it for you, so it's on you to keep it current</t>
  </si>
  <si>
    <t xml:space="preserve">5558306801</t>
  </si>
</sst>
</file>

<file path=xl/styles.xml><?xml version="1.0" encoding="utf-8"?>
<styleSheet xmlns="http://schemas.openxmlformats.org/spreadsheetml/2006/main">
  <numFmts count="3">
    <numFmt numFmtId="164" formatCode="General"/>
    <numFmt numFmtId="165" formatCode="yyyy\-mm\-dd"/>
    <numFmt numFmtId="166" formatCode="0%"/>
  </numFmts>
  <fonts count="2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2"/>
      <color rgb="FF037F4C"/>
      <name val="Cambria"/>
      <family val="0"/>
      <charset val="1"/>
    </font>
    <font>
      <b val="true"/>
      <sz val="11"/>
      <name val="Cambria"/>
      <family val="0"/>
      <charset val="1"/>
    </font>
    <font>
      <sz val="11"/>
      <color rgb="FFFFFFFF"/>
      <name val="Cambria"/>
      <family val="0"/>
      <charset val="1"/>
    </font>
    <font>
      <b val="true"/>
      <sz val="12"/>
      <color rgb="FFFDAB3D"/>
      <name val="Cambria"/>
      <family val="0"/>
      <charset val="1"/>
    </font>
    <font>
      <b val="true"/>
      <sz val="12"/>
      <color rgb="FFE2445C"/>
      <name val="Cambria"/>
      <family val="0"/>
      <charset val="1"/>
    </font>
    <font>
      <b val="true"/>
      <sz val="12"/>
      <color rgb="FFCAB641"/>
      <name val="Cambria"/>
      <family val="0"/>
      <charset val="1"/>
    </font>
    <font>
      <b val="true"/>
      <sz val="12"/>
      <color rgb="FFA25DDC"/>
      <name val="Cambria"/>
      <family val="0"/>
      <charset val="1"/>
    </font>
    <font>
      <b val="true"/>
      <sz val="12"/>
      <color rgb="FF007EB5"/>
      <name val="Cambria"/>
      <family val="0"/>
      <charset val="1"/>
    </font>
    <font>
      <b val="true"/>
      <sz val="12"/>
      <color rgb="FFBB3354"/>
      <name val="Cambria"/>
      <family val="0"/>
      <charset val="1"/>
    </font>
    <font>
      <b val="true"/>
      <sz val="12"/>
      <color rgb="FFFF5AC4"/>
      <name val="Cambria"/>
      <family val="0"/>
      <charset val="1"/>
    </font>
    <font>
      <b val="true"/>
      <sz val="12"/>
      <color rgb="FF00C875"/>
      <name val="Cambria"/>
      <family val="0"/>
      <charset val="1"/>
    </font>
    <font>
      <b val="true"/>
      <sz val="12"/>
      <color rgb="FF757575"/>
      <name val="Cambria"/>
      <family val="0"/>
      <charset val="1"/>
    </font>
    <font>
      <i val="true"/>
      <sz val="10"/>
      <name val="Arial"/>
      <family val="0"/>
      <charset val="1"/>
    </font>
    <font>
      <b val="true"/>
      <i val="true"/>
      <sz val="10"/>
      <color rgb="FFC00000"/>
      <name val="Arial"/>
      <family val="0"/>
      <charset val="1"/>
    </font>
    <font>
      <b val="true"/>
      <sz val="10"/>
      <name val="Arial"/>
      <family val="0"/>
      <charset val="1"/>
    </font>
    <font>
      <b val="true"/>
      <sz val="10"/>
      <color rgb="FF0000FF"/>
      <name val="Arial"/>
      <family val="0"/>
      <charset val="1"/>
    </font>
    <font>
      <sz val="10"/>
      <name val="Arial"/>
      <family val="0"/>
      <charset val="1"/>
    </font>
  </fonts>
  <fills count="11">
    <fill>
      <patternFill patternType="none"/>
    </fill>
    <fill>
      <patternFill patternType="gray125"/>
    </fill>
    <fill>
      <patternFill patternType="solid">
        <fgColor rgb="FFFFFFFF"/>
        <bgColor rgb="FFEFEFEF"/>
      </patternFill>
    </fill>
    <fill>
      <patternFill patternType="solid">
        <fgColor rgb="FFD6D6D6"/>
        <bgColor rgb="FFC4C4C4"/>
      </patternFill>
    </fill>
    <fill>
      <patternFill patternType="solid">
        <fgColor rgb="FF00C875"/>
        <bgColor rgb="FF00CA72"/>
      </patternFill>
    </fill>
    <fill>
      <patternFill patternType="solid">
        <fgColor rgb="FF00CA72"/>
        <bgColor rgb="FF00C875"/>
      </patternFill>
    </fill>
    <fill>
      <patternFill patternType="solid">
        <fgColor rgb="FFFDAB3D"/>
        <bgColor rgb="FFCAB641"/>
      </patternFill>
    </fill>
    <fill>
      <patternFill patternType="solid">
        <fgColor rgb="FFEFEFEF"/>
        <bgColor rgb="FFFFFFFF"/>
      </patternFill>
    </fill>
    <fill>
      <patternFill patternType="solid">
        <fgColor rgb="FF007EB5"/>
        <bgColor rgb="FF0066CC"/>
      </patternFill>
    </fill>
    <fill>
      <patternFill patternType="solid">
        <fgColor rgb="FFC4C4C4"/>
        <bgColor rgb="FFD6D6D6"/>
      </patternFill>
    </fill>
    <fill>
      <patternFill patternType="solid">
        <fgColor rgb="FFFFFF00"/>
        <bgColor rgb="FFFFFF00"/>
      </patternFill>
    </fill>
  </fills>
  <borders count="2">
    <border diagonalUp="false" diagonalDown="false">
      <left/>
      <right/>
      <top/>
      <bottom/>
      <diagonal/>
    </border>
    <border diagonalUp="false" diagonalDown="false">
      <left style="thin">
        <color rgb="FFC4C4C4"/>
      </left>
      <right style="thin">
        <color rgb="FFC4C4C4"/>
      </right>
      <top style="thin">
        <color rgb="FFC4C4C4"/>
      </top>
      <bottom style="thin">
        <color rgb="FFC4C4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xf numFmtId="164" fontId="7" fillId="6" borderId="0" xfId="0" applyFont="true" applyBorder="false" applyAlignment="true" applyProtection="false">
      <alignment horizontal="center" vertical="center" textRotation="0" wrapText="false" indent="0" shrinkToFit="false"/>
      <protection locked="true" hidden="false"/>
    </xf>
    <xf numFmtId="165" fontId="0" fillId="7" borderId="0" xfId="0" applyFont="true" applyBorder="false" applyAlignment="true" applyProtection="false">
      <alignment horizontal="center" vertical="center" textRotation="0" wrapText="false" indent="0" shrinkToFit="false"/>
      <protection locked="true" hidden="false"/>
    </xf>
    <xf numFmtId="164" fontId="0" fillId="7"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7" fillId="8"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7" fillId="9"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6" fontId="20" fillId="10" borderId="0" xfId="0" applyFont="true" applyBorder="false" applyAlignment="false" applyProtection="false">
      <alignment horizontal="general" vertical="bottom" textRotation="0" wrapText="false" indent="0" shrinkToFit="false"/>
      <protection locked="true" hidden="false"/>
    </xf>
    <xf numFmtId="164" fontId="19" fillId="3"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6" fontId="21" fillId="0" borderId="1" xfId="0" applyFont="true" applyBorder="true" applyAlignment="true" applyProtection="false">
      <alignment horizontal="general" vertical="top"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6" fontId="19" fillId="0" borderId="1" xfId="0" applyFont="true" applyBorder="true" applyAlignment="true" applyProtection="false">
      <alignment horizontal="general" vertical="top" textRotation="0" wrapText="true" indent="0" shrinkToFit="false"/>
      <protection locked="true" hidden="false"/>
    </xf>
    <xf numFmtId="165" fontId="21"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D6D6D6"/>
          <bgColor rgb="FF000000"/>
        </patternFill>
      </fill>
    </dxf>
    <dxf>
      <fill>
        <patternFill patternType="solid">
          <bgColor rgb="FF000000"/>
        </patternFill>
      </fill>
    </dxf>
    <dxf>
      <fill>
        <patternFill patternType="solid">
          <fgColor rgb="FF00C875"/>
          <bgColor rgb="FF000000"/>
        </patternFill>
      </fill>
    </dxf>
    <dxf>
      <fill>
        <patternFill patternType="solid">
          <fgColor rgb="FFE2445C"/>
          <bgColor rgb="FF000000"/>
        </patternFill>
      </fill>
    </dxf>
    <dxf>
      <fill>
        <patternFill patternType="solid">
          <fgColor rgb="FFFDAB3D"/>
          <bgColor rgb="FF000000"/>
        </patternFill>
      </fill>
    </dxf>
    <dxf>
      <fill>
        <patternFill patternType="solid">
          <fgColor rgb="FFFFFFFF"/>
          <bgColor rgb="FF000000"/>
        </patternFill>
      </fill>
    </dxf>
    <dxf>
      <font>
        <name val="Arial"/>
        <charset val="1"/>
        <family val="0"/>
        <b val="1"/>
        <color rgb="FFFFFFFF"/>
      </font>
      <fill>
        <patternFill>
          <bgColor rgb="FF00C875"/>
        </patternFill>
      </fill>
    </dxf>
    <dxf>
      <font>
        <name val="Arial"/>
        <charset val="1"/>
        <family val="0"/>
        <b val="1"/>
      </font>
      <fill>
        <patternFill>
          <bgColor rgb="FFFDAB3D"/>
        </patternFill>
      </fill>
    </dxf>
    <dxf>
      <font>
        <name val="Arial"/>
        <charset val="1"/>
        <family val="0"/>
        <b val="1"/>
        <color rgb="FFFFFFFF"/>
      </font>
      <fill>
        <patternFill>
          <bgColor rgb="FFE2445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37F4C"/>
      <rgbColor rgb="FFC4C4C4"/>
      <rgbColor rgb="FF757575"/>
      <rgbColor rgb="FF9999FF"/>
      <rgbColor rgb="FFBB3354"/>
      <rgbColor rgb="FFEFEFEF"/>
      <rgbColor rgb="FFCCFFFF"/>
      <rgbColor rgb="FF660066"/>
      <rgbColor rgb="FFFF5AC4"/>
      <rgbColor rgb="FF0066CC"/>
      <rgbColor rgb="FFD6D6D6"/>
      <rgbColor rgb="FF000080"/>
      <rgbColor rgb="FFFF00FF"/>
      <rgbColor rgb="FFFFFF00"/>
      <rgbColor rgb="FF00FFFF"/>
      <rgbColor rgb="FF800080"/>
      <rgbColor rgb="FF800000"/>
      <rgbColor rgb="FF007EB5"/>
      <rgbColor rgb="FF0000FF"/>
      <rgbColor rgb="FF00CA72"/>
      <rgbColor rgb="FFCCFFFF"/>
      <rgbColor rgb="FFCCFFCC"/>
      <rgbColor rgb="FFFFFF99"/>
      <rgbColor rgb="FF99CCFF"/>
      <rgbColor rgb="FFFF99CC"/>
      <rgbColor rgb="FFCC99FF"/>
      <rgbColor rgb="FFFFCC99"/>
      <rgbColor rgb="FF3366FF"/>
      <rgbColor rgb="FF00C875"/>
      <rgbColor rgb="FFCAB641"/>
      <rgbColor rgb="FFFFCC00"/>
      <rgbColor rgb="FFFDAB3D"/>
      <rgbColor rgb="FFFF6600"/>
      <rgbColor rgb="FFA25DDC"/>
      <rgbColor rgb="FF969696"/>
      <rgbColor rgb="FF003366"/>
      <rgbColor rgb="FF339966"/>
      <rgbColor rgb="FF003300"/>
      <rgbColor rgb="FF333300"/>
      <rgbColor rgb="FF993300"/>
      <rgbColor rgb="FFE2445C"/>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 collapsed="false" customWidth="true" hidden="false" outlineLevel="0" max="4" min="2" style="0" width="20"/>
    <col collapsed="false" customWidth="true" hidden="false" outlineLevel="0" max="5" min="5" style="0" width="30"/>
    <col collapsed="false" customWidth="true" hidden="false" outlineLevel="0" max="6" min="6" style="0" width="20"/>
    <col collapsed="false" customWidth="true" hidden="false" outlineLevel="0" max="7" min="7" style="0" width="45"/>
  </cols>
  <sheetData>
    <row r="1" customFormat="false" ht="19.5" hidden="false" customHeight="true" outlineLevel="0" collapsed="false">
      <c r="A1" s="1" t="s">
        <v>0</v>
      </c>
    </row>
    <row r="2" customFormat="false" ht="19.5" hidden="false" customHeight="true" outlineLevel="0" collapsed="false">
      <c r="A2" s="2" t="s">
        <v>1</v>
      </c>
    </row>
    <row r="3" customFormat="false" ht="19.5" hidden="false" customHeight="true" outlineLevel="0" collapsed="false">
      <c r="A3" s="3" t="s">
        <v>2</v>
      </c>
      <c r="B3" s="3" t="s">
        <v>3</v>
      </c>
      <c r="C3" s="3" t="s">
        <v>4</v>
      </c>
      <c r="D3" s="3" t="s">
        <v>5</v>
      </c>
      <c r="E3" s="3" t="s">
        <v>6</v>
      </c>
      <c r="F3" s="3" t="s">
        <v>7</v>
      </c>
      <c r="G3" s="3" t="s">
        <v>8</v>
      </c>
    </row>
    <row r="4" customFormat="false" ht="19.5" hidden="false" customHeight="true" outlineLevel="0" collapsed="false">
      <c r="A4" s="4" t="s">
        <v>9</v>
      </c>
      <c r="C4" s="5" t="s">
        <v>10</v>
      </c>
      <c r="D4" s="6" t="s">
        <v>11</v>
      </c>
      <c r="E4" s="7" t="n">
        <v>46251</v>
      </c>
      <c r="F4" s="8" t="s">
        <v>12</v>
      </c>
      <c r="G4" s="5" t="s">
        <v>13</v>
      </c>
    </row>
    <row r="5" customFormat="false" ht="19.5" hidden="false" customHeight="true" outlineLevel="0" collapsed="false">
      <c r="A5" s="4" t="s">
        <v>14</v>
      </c>
      <c r="C5" s="5" t="s">
        <v>10</v>
      </c>
      <c r="D5" s="6" t="s">
        <v>11</v>
      </c>
      <c r="G5" s="5" t="s">
        <v>15</v>
      </c>
    </row>
    <row r="6" customFormat="false" ht="19.5" hidden="false" customHeight="true" outlineLevel="0" collapsed="false">
      <c r="A6" s="4" t="s">
        <v>16</v>
      </c>
      <c r="C6" s="5" t="s">
        <v>10</v>
      </c>
      <c r="D6" s="6" t="s">
        <v>11</v>
      </c>
      <c r="G6" s="5" t="s">
        <v>17</v>
      </c>
    </row>
    <row r="7" customFormat="false" ht="19.5" hidden="false" customHeight="true" outlineLevel="0" collapsed="false">
      <c r="A7" s="4" t="s">
        <v>18</v>
      </c>
      <c r="C7" s="5" t="s">
        <v>10</v>
      </c>
      <c r="D7" s="6" t="s">
        <v>11</v>
      </c>
      <c r="G7" s="5" t="s">
        <v>19</v>
      </c>
    </row>
    <row r="8" customFormat="false" ht="19.5" hidden="false" customHeight="true" outlineLevel="0" collapsed="false">
      <c r="A8" s="4" t="s">
        <v>20</v>
      </c>
      <c r="D8" s="9" t="s">
        <v>21</v>
      </c>
      <c r="G8" s="5" t="s">
        <v>22</v>
      </c>
    </row>
    <row r="9" customFormat="false" ht="19.5" hidden="false" customHeight="true" outlineLevel="0" collapsed="false">
      <c r="A9" s="4" t="s">
        <v>23</v>
      </c>
      <c r="D9" s="6" t="s">
        <v>11</v>
      </c>
      <c r="E9" s="7" t="n">
        <v>46254</v>
      </c>
      <c r="F9" s="8" t="s">
        <v>12</v>
      </c>
      <c r="G9" s="5" t="s">
        <v>24</v>
      </c>
    </row>
    <row r="10" customFormat="false" ht="19.5" hidden="false" customHeight="true" outlineLevel="0" collapsed="false">
      <c r="E10" s="10" t="s">
        <v>25</v>
      </c>
      <c r="F10" s="11" t="s">
        <v>26</v>
      </c>
    </row>
    <row r="11" customFormat="false" ht="19.5" hidden="false" customHeight="true" outlineLevel="0" collapsed="false"/>
    <row r="12" customFormat="false" ht="19.5" hidden="false" customHeight="true" outlineLevel="0" collapsed="false">
      <c r="A12" s="12" t="s">
        <v>27</v>
      </c>
    </row>
    <row r="13" customFormat="false" ht="19.5" hidden="false" customHeight="true" outlineLevel="0" collapsed="false">
      <c r="A13" s="3" t="s">
        <v>2</v>
      </c>
      <c r="B13" s="3" t="s">
        <v>3</v>
      </c>
      <c r="C13" s="3" t="s">
        <v>4</v>
      </c>
      <c r="D13" s="3" t="s">
        <v>5</v>
      </c>
      <c r="E13" s="3" t="s">
        <v>6</v>
      </c>
      <c r="F13" s="3" t="s">
        <v>7</v>
      </c>
      <c r="G13" s="3" t="s">
        <v>8</v>
      </c>
    </row>
    <row r="14" customFormat="false" ht="19.5" hidden="false" customHeight="true" outlineLevel="0" collapsed="false">
      <c r="A14" s="4" t="s">
        <v>28</v>
      </c>
      <c r="C14" s="5" t="s">
        <v>10</v>
      </c>
      <c r="D14" s="6" t="s">
        <v>11</v>
      </c>
      <c r="E14" s="7" t="n">
        <v>46258</v>
      </c>
      <c r="G14" s="5" t="s">
        <v>29</v>
      </c>
    </row>
    <row r="15" customFormat="false" ht="19.5" hidden="false" customHeight="true" outlineLevel="0" collapsed="false">
      <c r="A15" s="4" t="s">
        <v>30</v>
      </c>
      <c r="C15" s="5" t="s">
        <v>10</v>
      </c>
      <c r="D15" s="6" t="s">
        <v>11</v>
      </c>
      <c r="E15" s="7" t="n">
        <v>46259</v>
      </c>
      <c r="G15" s="5" t="s">
        <v>31</v>
      </c>
    </row>
    <row r="16" customFormat="false" ht="19.5" hidden="false" customHeight="true" outlineLevel="0" collapsed="false">
      <c r="A16" s="4" t="s">
        <v>32</v>
      </c>
      <c r="C16" s="5" t="s">
        <v>10</v>
      </c>
      <c r="D16" s="13" t="s">
        <v>33</v>
      </c>
      <c r="E16" s="7" t="n">
        <v>46260</v>
      </c>
      <c r="G16" s="5" t="s">
        <v>34</v>
      </c>
    </row>
    <row r="17" customFormat="false" ht="19.5" hidden="false" customHeight="true" outlineLevel="0" collapsed="false">
      <c r="A17" s="4" t="s">
        <v>35</v>
      </c>
      <c r="C17" s="5" t="s">
        <v>10</v>
      </c>
      <c r="D17" s="6" t="s">
        <v>11</v>
      </c>
      <c r="E17" s="7" t="n">
        <v>46261</v>
      </c>
      <c r="G17" s="5" t="s">
        <v>36</v>
      </c>
    </row>
    <row r="18" customFormat="false" ht="19.5" hidden="false" customHeight="true" outlineLevel="0" collapsed="false">
      <c r="A18" s="4" t="s">
        <v>20</v>
      </c>
      <c r="D18" s="9" t="s">
        <v>21</v>
      </c>
      <c r="G18" s="5" t="s">
        <v>37</v>
      </c>
    </row>
    <row r="19" customFormat="false" ht="19.5" hidden="false" customHeight="true" outlineLevel="0" collapsed="false">
      <c r="E19" s="10" t="s">
        <v>38</v>
      </c>
      <c r="F19" s="11" t="s">
        <v>39</v>
      </c>
    </row>
    <row r="20" customFormat="false" ht="19.5" hidden="false" customHeight="true" outlineLevel="0" collapsed="false"/>
    <row r="21" customFormat="false" ht="19.5" hidden="false" customHeight="true" outlineLevel="0" collapsed="false">
      <c r="A21" s="14" t="s">
        <v>40</v>
      </c>
    </row>
    <row r="22" customFormat="false" ht="19.5" hidden="false" customHeight="true" outlineLevel="0" collapsed="false">
      <c r="A22" s="3" t="s">
        <v>2</v>
      </c>
      <c r="B22" s="3" t="s">
        <v>3</v>
      </c>
      <c r="C22" s="3" t="s">
        <v>4</v>
      </c>
      <c r="D22" s="3" t="s">
        <v>5</v>
      </c>
      <c r="E22" s="3" t="s">
        <v>6</v>
      </c>
      <c r="F22" s="3" t="s">
        <v>7</v>
      </c>
      <c r="G22" s="3" t="s">
        <v>8</v>
      </c>
    </row>
    <row r="23" customFormat="false" ht="19.5" hidden="false" customHeight="true" outlineLevel="0" collapsed="false">
      <c r="A23" s="4" t="s">
        <v>41</v>
      </c>
      <c r="C23" s="5" t="s">
        <v>10</v>
      </c>
      <c r="D23" s="6" t="s">
        <v>11</v>
      </c>
      <c r="E23" s="7" t="n">
        <v>46265</v>
      </c>
      <c r="G23" s="5" t="s">
        <v>42</v>
      </c>
    </row>
    <row r="24" customFormat="false" ht="19.5" hidden="false" customHeight="true" outlineLevel="0" collapsed="false">
      <c r="A24" s="4" t="s">
        <v>43</v>
      </c>
      <c r="C24" s="5" t="s">
        <v>10</v>
      </c>
      <c r="D24" s="6" t="s">
        <v>11</v>
      </c>
      <c r="E24" s="7" t="n">
        <v>46266</v>
      </c>
      <c r="G24" s="5" t="s">
        <v>44</v>
      </c>
    </row>
    <row r="25" customFormat="false" ht="19.5" hidden="false" customHeight="true" outlineLevel="0" collapsed="false">
      <c r="A25" s="4" t="s">
        <v>45</v>
      </c>
      <c r="C25" s="5" t="s">
        <v>10</v>
      </c>
      <c r="D25" s="6" t="s">
        <v>11</v>
      </c>
      <c r="E25" s="7" t="n">
        <v>46267</v>
      </c>
      <c r="G25" s="5" t="s">
        <v>46</v>
      </c>
    </row>
    <row r="26" customFormat="false" ht="19.5" hidden="false" customHeight="true" outlineLevel="0" collapsed="false">
      <c r="A26" s="4" t="s">
        <v>47</v>
      </c>
      <c r="C26" s="5" t="s">
        <v>10</v>
      </c>
      <c r="D26" s="6" t="s">
        <v>11</v>
      </c>
      <c r="E26" s="7" t="n">
        <v>46268</v>
      </c>
      <c r="G26" s="5" t="s">
        <v>48</v>
      </c>
    </row>
    <row r="27" customFormat="false" ht="19.5" hidden="false" customHeight="true" outlineLevel="0" collapsed="false">
      <c r="A27" s="4" t="s">
        <v>20</v>
      </c>
      <c r="C27" s="5" t="s">
        <v>10</v>
      </c>
      <c r="D27" s="15"/>
      <c r="G27" s="5" t="s">
        <v>49</v>
      </c>
    </row>
    <row r="28" customFormat="false" ht="19.5" hidden="false" customHeight="true" outlineLevel="0" collapsed="false">
      <c r="E28" s="10" t="s">
        <v>50</v>
      </c>
      <c r="F28" s="11" t="s">
        <v>39</v>
      </c>
    </row>
    <row r="29" customFormat="false" ht="19.5" hidden="false" customHeight="true" outlineLevel="0" collapsed="false"/>
    <row r="30" customFormat="false" ht="19.5" hidden="false" customHeight="true" outlineLevel="0" collapsed="false">
      <c r="A30" s="16" t="s">
        <v>51</v>
      </c>
    </row>
    <row r="31" customFormat="false" ht="19.5" hidden="false" customHeight="true" outlineLevel="0" collapsed="false">
      <c r="A31" s="3" t="s">
        <v>2</v>
      </c>
      <c r="B31" s="3" t="s">
        <v>3</v>
      </c>
      <c r="C31" s="3" t="s">
        <v>4</v>
      </c>
      <c r="D31" s="3" t="s">
        <v>5</v>
      </c>
      <c r="E31" s="3" t="s">
        <v>6</v>
      </c>
      <c r="F31" s="3" t="s">
        <v>7</v>
      </c>
      <c r="G31" s="3" t="s">
        <v>8</v>
      </c>
    </row>
    <row r="32" customFormat="false" ht="19.5" hidden="false" customHeight="true" outlineLevel="0" collapsed="false">
      <c r="A32" s="4" t="s">
        <v>52</v>
      </c>
      <c r="C32" s="5" t="s">
        <v>10</v>
      </c>
      <c r="D32" s="6" t="s">
        <v>11</v>
      </c>
      <c r="E32" s="7" t="n">
        <v>46272</v>
      </c>
      <c r="G32" s="5" t="s">
        <v>53</v>
      </c>
    </row>
    <row r="33" customFormat="false" ht="19.5" hidden="false" customHeight="true" outlineLevel="0" collapsed="false">
      <c r="A33" s="4" t="s">
        <v>54</v>
      </c>
      <c r="C33" s="5" t="s">
        <v>10</v>
      </c>
      <c r="D33" s="6" t="s">
        <v>11</v>
      </c>
      <c r="E33" s="7" t="n">
        <v>46273</v>
      </c>
      <c r="G33" s="5" t="s">
        <v>55</v>
      </c>
    </row>
    <row r="34" customFormat="false" ht="19.5" hidden="false" customHeight="true" outlineLevel="0" collapsed="false">
      <c r="A34" s="4" t="s">
        <v>56</v>
      </c>
      <c r="C34" s="5" t="s">
        <v>10</v>
      </c>
      <c r="D34" s="6" t="s">
        <v>11</v>
      </c>
      <c r="E34" s="7" t="n">
        <v>46274</v>
      </c>
      <c r="G34" s="5" t="s">
        <v>57</v>
      </c>
    </row>
    <row r="35" customFormat="false" ht="19.5" hidden="false" customHeight="true" outlineLevel="0" collapsed="false">
      <c r="A35" s="4" t="s">
        <v>58</v>
      </c>
      <c r="C35" s="5" t="s">
        <v>10</v>
      </c>
      <c r="D35" s="6" t="s">
        <v>11</v>
      </c>
      <c r="E35" s="7" t="n">
        <v>46275</v>
      </c>
      <c r="G35" s="5" t="s">
        <v>59</v>
      </c>
    </row>
    <row r="36" customFormat="false" ht="19.5" hidden="false" customHeight="true" outlineLevel="0" collapsed="false">
      <c r="A36" s="4" t="s">
        <v>60</v>
      </c>
      <c r="D36" s="15"/>
      <c r="G36" s="5" t="s">
        <v>61</v>
      </c>
    </row>
    <row r="37" customFormat="false" ht="19.5" hidden="false" customHeight="true" outlineLevel="0" collapsed="false">
      <c r="A37" s="4" t="s">
        <v>62</v>
      </c>
      <c r="D37" s="15"/>
      <c r="E37" s="7" t="n">
        <v>46275</v>
      </c>
      <c r="F37" s="8" t="s">
        <v>12</v>
      </c>
      <c r="G37" s="5" t="s">
        <v>63</v>
      </c>
    </row>
    <row r="38" customFormat="false" ht="19.5" hidden="false" customHeight="true" outlineLevel="0" collapsed="false">
      <c r="E38" s="10" t="s">
        <v>64</v>
      </c>
      <c r="F38" s="11" t="s">
        <v>65</v>
      </c>
    </row>
    <row r="39" customFormat="false" ht="19.5" hidden="false" customHeight="true" outlineLevel="0" collapsed="false"/>
    <row r="40" customFormat="false" ht="19.5" hidden="false" customHeight="true" outlineLevel="0" collapsed="false">
      <c r="A40" s="17" t="s">
        <v>66</v>
      </c>
    </row>
    <row r="41" customFormat="false" ht="19.5" hidden="false" customHeight="true" outlineLevel="0" collapsed="false">
      <c r="A41" s="3" t="s">
        <v>2</v>
      </c>
      <c r="B41" s="3" t="s">
        <v>3</v>
      </c>
      <c r="C41" s="3" t="s">
        <v>4</v>
      </c>
      <c r="D41" s="3" t="s">
        <v>5</v>
      </c>
      <c r="E41" s="3" t="s">
        <v>6</v>
      </c>
      <c r="F41" s="3" t="s">
        <v>7</v>
      </c>
      <c r="G41" s="3" t="s">
        <v>8</v>
      </c>
    </row>
    <row r="42" customFormat="false" ht="19.5" hidden="false" customHeight="true" outlineLevel="0" collapsed="false">
      <c r="A42" s="4" t="s">
        <v>67</v>
      </c>
      <c r="C42" s="5" t="s">
        <v>10</v>
      </c>
      <c r="D42" s="6" t="s">
        <v>11</v>
      </c>
      <c r="E42" s="7" t="n">
        <v>46279</v>
      </c>
      <c r="G42" s="5" t="s">
        <v>68</v>
      </c>
    </row>
    <row r="43" customFormat="false" ht="19.5" hidden="false" customHeight="true" outlineLevel="0" collapsed="false">
      <c r="A43" s="4" t="s">
        <v>69</v>
      </c>
      <c r="C43" s="5" t="s">
        <v>10</v>
      </c>
      <c r="D43" s="6" t="s">
        <v>11</v>
      </c>
      <c r="E43" s="7" t="n">
        <v>46280</v>
      </c>
      <c r="G43" s="5" t="s">
        <v>70</v>
      </c>
    </row>
    <row r="44" customFormat="false" ht="19.5" hidden="false" customHeight="true" outlineLevel="0" collapsed="false">
      <c r="A44" s="4" t="s">
        <v>71</v>
      </c>
      <c r="C44" s="5" t="s">
        <v>10</v>
      </c>
      <c r="D44" s="6" t="s">
        <v>11</v>
      </c>
      <c r="E44" s="7" t="n">
        <v>46281</v>
      </c>
      <c r="G44" s="5" t="s">
        <v>72</v>
      </c>
    </row>
    <row r="45" customFormat="false" ht="19.5" hidden="false" customHeight="true" outlineLevel="0" collapsed="false">
      <c r="A45" s="4" t="s">
        <v>73</v>
      </c>
      <c r="C45" s="5" t="s">
        <v>10</v>
      </c>
      <c r="D45" s="6" t="s">
        <v>11</v>
      </c>
      <c r="E45" s="7" t="n">
        <v>46282</v>
      </c>
      <c r="G45" s="5" t="s">
        <v>74</v>
      </c>
    </row>
    <row r="46" customFormat="false" ht="19.5" hidden="false" customHeight="true" outlineLevel="0" collapsed="false">
      <c r="A46" s="4" t="s">
        <v>60</v>
      </c>
      <c r="C46" s="5" t="s">
        <v>10</v>
      </c>
      <c r="D46" s="15"/>
      <c r="G46" s="5" t="s">
        <v>75</v>
      </c>
    </row>
    <row r="47" customFormat="false" ht="19.5" hidden="false" customHeight="true" outlineLevel="0" collapsed="false">
      <c r="A47" s="4" t="s">
        <v>76</v>
      </c>
      <c r="D47" s="15"/>
      <c r="F47" s="8" t="s">
        <v>12</v>
      </c>
      <c r="G47" s="5" t="s">
        <v>77</v>
      </c>
    </row>
    <row r="48" customFormat="false" ht="19.5" hidden="false" customHeight="true" outlineLevel="0" collapsed="false">
      <c r="E48" s="10" t="s">
        <v>78</v>
      </c>
      <c r="F48" s="11" t="s">
        <v>65</v>
      </c>
    </row>
    <row r="49" customFormat="false" ht="19.5" hidden="false" customHeight="true" outlineLevel="0" collapsed="false"/>
    <row r="50" customFormat="false" ht="19.5" hidden="false" customHeight="true" outlineLevel="0" collapsed="false">
      <c r="A50" s="18" t="s">
        <v>79</v>
      </c>
    </row>
    <row r="51" customFormat="false" ht="19.5" hidden="false" customHeight="true" outlineLevel="0" collapsed="false">
      <c r="A51" s="3" t="s">
        <v>2</v>
      </c>
      <c r="B51" s="3" t="s">
        <v>3</v>
      </c>
      <c r="C51" s="3" t="s">
        <v>4</v>
      </c>
      <c r="D51" s="3" t="s">
        <v>5</v>
      </c>
      <c r="E51" s="3" t="s">
        <v>6</v>
      </c>
      <c r="F51" s="3" t="s">
        <v>7</v>
      </c>
      <c r="G51" s="3" t="s">
        <v>8</v>
      </c>
    </row>
    <row r="52" customFormat="false" ht="19.5" hidden="false" customHeight="true" outlineLevel="0" collapsed="false">
      <c r="A52" s="4" t="s">
        <v>80</v>
      </c>
      <c r="C52" s="5" t="s">
        <v>10</v>
      </c>
      <c r="D52" s="6" t="s">
        <v>11</v>
      </c>
      <c r="E52" s="7" t="n">
        <v>46286</v>
      </c>
      <c r="G52" s="5" t="s">
        <v>81</v>
      </c>
    </row>
    <row r="53" customFormat="false" ht="19.5" hidden="false" customHeight="true" outlineLevel="0" collapsed="false">
      <c r="A53" s="4" t="s">
        <v>82</v>
      </c>
      <c r="C53" s="5" t="s">
        <v>10</v>
      </c>
      <c r="D53" s="6" t="s">
        <v>11</v>
      </c>
      <c r="E53" s="7" t="n">
        <v>46287</v>
      </c>
      <c r="G53" s="5" t="s">
        <v>83</v>
      </c>
    </row>
    <row r="54" customFormat="false" ht="19.5" hidden="false" customHeight="true" outlineLevel="0" collapsed="false">
      <c r="A54" s="4" t="s">
        <v>84</v>
      </c>
      <c r="C54" s="5" t="s">
        <v>10</v>
      </c>
      <c r="D54" s="6" t="s">
        <v>11</v>
      </c>
      <c r="E54" s="7" t="n">
        <v>46288</v>
      </c>
      <c r="G54" s="5" t="s">
        <v>85</v>
      </c>
    </row>
    <row r="55" customFormat="false" ht="19.5" hidden="false" customHeight="true" outlineLevel="0" collapsed="false">
      <c r="A55" s="4" t="s">
        <v>60</v>
      </c>
      <c r="C55" s="5" t="s">
        <v>10</v>
      </c>
      <c r="D55" s="15"/>
      <c r="G55" s="5" t="s">
        <v>86</v>
      </c>
    </row>
    <row r="56" customFormat="false" ht="19.5" hidden="false" customHeight="true" outlineLevel="0" collapsed="false">
      <c r="E56" s="10" t="s">
        <v>87</v>
      </c>
      <c r="F56" s="11" t="s">
        <v>88</v>
      </c>
    </row>
    <row r="57" customFormat="false" ht="19.5" hidden="false" customHeight="true" outlineLevel="0" collapsed="false"/>
    <row r="58" customFormat="false" ht="19.5" hidden="false" customHeight="true" outlineLevel="0" collapsed="false">
      <c r="A58" s="19" t="s">
        <v>89</v>
      </c>
    </row>
    <row r="59" customFormat="false" ht="19.5" hidden="false" customHeight="true" outlineLevel="0" collapsed="false">
      <c r="A59" s="3" t="s">
        <v>2</v>
      </c>
      <c r="B59" s="3" t="s">
        <v>3</v>
      </c>
      <c r="C59" s="3" t="s">
        <v>4</v>
      </c>
      <c r="D59" s="3" t="s">
        <v>5</v>
      </c>
      <c r="E59" s="3" t="s">
        <v>6</v>
      </c>
      <c r="F59" s="3" t="s">
        <v>7</v>
      </c>
      <c r="G59" s="3" t="s">
        <v>8</v>
      </c>
    </row>
    <row r="60" customFormat="false" ht="19.5" hidden="false" customHeight="true" outlineLevel="0" collapsed="false">
      <c r="A60" s="4" t="s">
        <v>90</v>
      </c>
      <c r="C60" s="5" t="s">
        <v>10</v>
      </c>
      <c r="D60" s="6" t="s">
        <v>11</v>
      </c>
      <c r="E60" s="7" t="n">
        <v>46293</v>
      </c>
      <c r="G60" s="5" t="s">
        <v>91</v>
      </c>
    </row>
    <row r="61" customFormat="false" ht="19.5" hidden="false" customHeight="true" outlineLevel="0" collapsed="false">
      <c r="A61" s="4" t="s">
        <v>92</v>
      </c>
      <c r="C61" s="5" t="s">
        <v>10</v>
      </c>
      <c r="D61" s="6" t="s">
        <v>11</v>
      </c>
      <c r="E61" s="7" t="n">
        <v>46294</v>
      </c>
      <c r="G61" s="5" t="s">
        <v>93</v>
      </c>
    </row>
    <row r="62" customFormat="false" ht="19.5" hidden="false" customHeight="true" outlineLevel="0" collapsed="false">
      <c r="A62" s="4" t="s">
        <v>94</v>
      </c>
      <c r="C62" s="5" t="s">
        <v>10</v>
      </c>
      <c r="D62" s="6" t="s">
        <v>11</v>
      </c>
      <c r="E62" s="7" t="n">
        <v>46295</v>
      </c>
      <c r="G62" s="5" t="s">
        <v>95</v>
      </c>
    </row>
    <row r="63" customFormat="false" ht="19.5" hidden="false" customHeight="true" outlineLevel="0" collapsed="false">
      <c r="A63" s="4" t="s">
        <v>96</v>
      </c>
      <c r="C63" s="5" t="s">
        <v>10</v>
      </c>
      <c r="D63" s="6" t="s">
        <v>11</v>
      </c>
      <c r="E63" s="7" t="n">
        <v>46296</v>
      </c>
      <c r="G63" s="5" t="s">
        <v>97</v>
      </c>
    </row>
    <row r="64" customFormat="false" ht="19.5" hidden="false" customHeight="true" outlineLevel="0" collapsed="false">
      <c r="A64" s="4" t="s">
        <v>98</v>
      </c>
      <c r="C64" s="5" t="s">
        <v>10</v>
      </c>
      <c r="D64" s="6" t="s">
        <v>11</v>
      </c>
      <c r="E64" s="7" t="n">
        <v>46297</v>
      </c>
      <c r="G64" s="5" t="s">
        <v>99</v>
      </c>
    </row>
    <row r="65" customFormat="false" ht="19.5" hidden="false" customHeight="true" outlineLevel="0" collapsed="false">
      <c r="A65" s="4" t="s">
        <v>100</v>
      </c>
      <c r="C65" s="5" t="s">
        <v>10</v>
      </c>
      <c r="D65" s="15"/>
      <c r="G65" s="5" t="s">
        <v>101</v>
      </c>
    </row>
    <row r="66" customFormat="false" ht="19.5" hidden="false" customHeight="true" outlineLevel="0" collapsed="false">
      <c r="E66" s="10" t="s">
        <v>102</v>
      </c>
      <c r="F66" s="11" t="s">
        <v>103</v>
      </c>
    </row>
    <row r="67" customFormat="false" ht="19.5" hidden="false" customHeight="true" outlineLevel="0" collapsed="false"/>
    <row r="68" customFormat="false" ht="19.5" hidden="false" customHeight="true" outlineLevel="0" collapsed="false">
      <c r="A68" s="20" t="s">
        <v>104</v>
      </c>
    </row>
    <row r="69" customFormat="false" ht="19.5" hidden="false" customHeight="true" outlineLevel="0" collapsed="false">
      <c r="A69" s="3" t="s">
        <v>2</v>
      </c>
      <c r="B69" s="3" t="s">
        <v>3</v>
      </c>
      <c r="C69" s="3" t="s">
        <v>4</v>
      </c>
      <c r="D69" s="3" t="s">
        <v>5</v>
      </c>
      <c r="E69" s="3" t="s">
        <v>6</v>
      </c>
      <c r="F69" s="3" t="s">
        <v>7</v>
      </c>
      <c r="G69" s="3" t="s">
        <v>8</v>
      </c>
    </row>
    <row r="70" customFormat="false" ht="19.5" hidden="false" customHeight="true" outlineLevel="0" collapsed="false">
      <c r="A70" s="4" t="s">
        <v>105</v>
      </c>
      <c r="C70" s="5" t="s">
        <v>10</v>
      </c>
      <c r="D70" s="6" t="s">
        <v>11</v>
      </c>
      <c r="E70" s="7" t="n">
        <v>46300</v>
      </c>
      <c r="G70" s="5" t="s">
        <v>106</v>
      </c>
    </row>
    <row r="71" customFormat="false" ht="19.5" hidden="false" customHeight="true" outlineLevel="0" collapsed="false">
      <c r="A71" s="4" t="s">
        <v>107</v>
      </c>
      <c r="C71" s="5" t="s">
        <v>10</v>
      </c>
      <c r="D71" s="15"/>
      <c r="E71" s="7" t="n">
        <v>46301</v>
      </c>
      <c r="G71" s="5" t="s">
        <v>108</v>
      </c>
    </row>
    <row r="72" customFormat="false" ht="19.5" hidden="false" customHeight="true" outlineLevel="0" collapsed="false">
      <c r="A72" s="4" t="s">
        <v>109</v>
      </c>
      <c r="C72" s="5" t="s">
        <v>10</v>
      </c>
      <c r="D72" s="15"/>
      <c r="E72" s="7" t="n">
        <v>46302</v>
      </c>
      <c r="G72" s="5" t="s">
        <v>110</v>
      </c>
    </row>
    <row r="73" customFormat="false" ht="19.5" hidden="false" customHeight="true" outlineLevel="0" collapsed="false">
      <c r="A73" s="4" t="s">
        <v>111</v>
      </c>
      <c r="C73" s="5" t="s">
        <v>10</v>
      </c>
      <c r="D73" s="15"/>
      <c r="E73" s="7" t="n">
        <v>46303</v>
      </c>
      <c r="G73" s="5" t="s">
        <v>112</v>
      </c>
    </row>
    <row r="74" customFormat="false" ht="19.5" hidden="false" customHeight="true" outlineLevel="0" collapsed="false">
      <c r="A74" s="4" t="s">
        <v>60</v>
      </c>
      <c r="C74" s="5" t="s">
        <v>10</v>
      </c>
      <c r="D74" s="15"/>
      <c r="G74" s="5" t="s">
        <v>113</v>
      </c>
    </row>
    <row r="75" customFormat="false" ht="19.5" hidden="false" customHeight="true" outlineLevel="0" collapsed="false">
      <c r="E75" s="10" t="s">
        <v>114</v>
      </c>
      <c r="F75" s="11" t="s">
        <v>39</v>
      </c>
    </row>
    <row r="76" customFormat="false" ht="19.5" hidden="false" customHeight="true" outlineLevel="0" collapsed="false"/>
    <row r="77" customFormat="false" ht="19.5" hidden="false" customHeight="true" outlineLevel="0" collapsed="false">
      <c r="A77" s="18" t="s">
        <v>115</v>
      </c>
    </row>
    <row r="78" customFormat="false" ht="19.5" hidden="false" customHeight="true" outlineLevel="0" collapsed="false">
      <c r="A78" s="3" t="s">
        <v>2</v>
      </c>
      <c r="B78" s="3" t="s">
        <v>3</v>
      </c>
      <c r="C78" s="3" t="s">
        <v>4</v>
      </c>
      <c r="D78" s="3" t="s">
        <v>5</v>
      </c>
      <c r="E78" s="3" t="s">
        <v>6</v>
      </c>
      <c r="F78" s="3" t="s">
        <v>7</v>
      </c>
      <c r="G78" s="3" t="s">
        <v>8</v>
      </c>
    </row>
    <row r="79" customFormat="false" ht="19.5" hidden="false" customHeight="true" outlineLevel="0" collapsed="false">
      <c r="A79" s="4" t="s">
        <v>116</v>
      </c>
      <c r="C79" s="5" t="s">
        <v>10</v>
      </c>
      <c r="D79" s="15"/>
      <c r="E79" s="7" t="n">
        <v>46307</v>
      </c>
      <c r="G79" s="5" t="s">
        <v>117</v>
      </c>
    </row>
    <row r="80" customFormat="false" ht="19.5" hidden="false" customHeight="true" outlineLevel="0" collapsed="false">
      <c r="A80" s="4" t="s">
        <v>118</v>
      </c>
      <c r="C80" s="5" t="s">
        <v>10</v>
      </c>
      <c r="D80" s="15"/>
      <c r="E80" s="7" t="n">
        <v>46308</v>
      </c>
      <c r="G80" s="5" t="s">
        <v>119</v>
      </c>
    </row>
    <row r="81" customFormat="false" ht="19.5" hidden="false" customHeight="true" outlineLevel="0" collapsed="false">
      <c r="A81" s="4" t="s">
        <v>120</v>
      </c>
      <c r="C81" s="5" t="s">
        <v>10</v>
      </c>
      <c r="D81" s="15"/>
      <c r="E81" s="7" t="n">
        <v>46309</v>
      </c>
      <c r="G81" s="5" t="s">
        <v>121</v>
      </c>
    </row>
    <row r="82" customFormat="false" ht="19.5" hidden="false" customHeight="true" outlineLevel="0" collapsed="false">
      <c r="A82" s="4" t="s">
        <v>122</v>
      </c>
      <c r="C82" s="5" t="s">
        <v>10</v>
      </c>
      <c r="D82" s="15"/>
      <c r="E82" s="7" t="n">
        <v>46310</v>
      </c>
      <c r="G82" s="5" t="s">
        <v>123</v>
      </c>
    </row>
    <row r="83" customFormat="false" ht="19.5" hidden="false" customHeight="true" outlineLevel="0" collapsed="false">
      <c r="A83" s="4" t="s">
        <v>60</v>
      </c>
      <c r="C83" s="5" t="s">
        <v>10</v>
      </c>
      <c r="D83" s="15"/>
      <c r="G83" s="5" t="s">
        <v>124</v>
      </c>
    </row>
    <row r="84" customFormat="false" ht="19.5" hidden="false" customHeight="true" outlineLevel="0" collapsed="false">
      <c r="E84" s="10" t="s">
        <v>125</v>
      </c>
      <c r="F84" s="11" t="s">
        <v>39</v>
      </c>
    </row>
    <row r="85" customFormat="false" ht="19.5" hidden="false" customHeight="true" outlineLevel="0" collapsed="false"/>
    <row r="86" customFormat="false" ht="19.5" hidden="false" customHeight="true" outlineLevel="0" collapsed="false">
      <c r="A86" s="21" t="s">
        <v>126</v>
      </c>
    </row>
    <row r="87" customFormat="false" ht="19.5" hidden="false" customHeight="true" outlineLevel="0" collapsed="false">
      <c r="A87" s="3" t="s">
        <v>2</v>
      </c>
      <c r="B87" s="3" t="s">
        <v>3</v>
      </c>
      <c r="C87" s="3" t="s">
        <v>4</v>
      </c>
      <c r="D87" s="3" t="s">
        <v>5</v>
      </c>
      <c r="E87" s="3" t="s">
        <v>6</v>
      </c>
      <c r="F87" s="3" t="s">
        <v>7</v>
      </c>
      <c r="G87" s="3" t="s">
        <v>8</v>
      </c>
    </row>
    <row r="88" customFormat="false" ht="19.5" hidden="false" customHeight="true" outlineLevel="0" collapsed="false">
      <c r="A88" s="4" t="s">
        <v>127</v>
      </c>
      <c r="C88" s="5" t="s">
        <v>10</v>
      </c>
      <c r="D88" s="15"/>
      <c r="E88" s="7" t="n">
        <v>46314</v>
      </c>
      <c r="G88" s="5" t="s">
        <v>128</v>
      </c>
    </row>
    <row r="89" customFormat="false" ht="19.5" hidden="false" customHeight="true" outlineLevel="0" collapsed="false">
      <c r="A89" s="4" t="s">
        <v>129</v>
      </c>
      <c r="C89" s="5" t="s">
        <v>10</v>
      </c>
      <c r="D89" s="15"/>
      <c r="E89" s="7" t="n">
        <v>46315</v>
      </c>
      <c r="G89" s="5" t="s">
        <v>130</v>
      </c>
    </row>
    <row r="90" customFormat="false" ht="19.5" hidden="false" customHeight="true" outlineLevel="0" collapsed="false">
      <c r="A90" s="4" t="s">
        <v>131</v>
      </c>
      <c r="C90" s="5" t="s">
        <v>10</v>
      </c>
      <c r="D90" s="15"/>
      <c r="E90" s="7" t="n">
        <v>46316</v>
      </c>
      <c r="G90" s="5" t="s">
        <v>132</v>
      </c>
    </row>
    <row r="91" customFormat="false" ht="19.5" hidden="false" customHeight="true" outlineLevel="0" collapsed="false">
      <c r="A91" s="4" t="s">
        <v>133</v>
      </c>
      <c r="C91" s="5" t="s">
        <v>10</v>
      </c>
      <c r="D91" s="15"/>
      <c r="E91" s="7" t="n">
        <v>46317</v>
      </c>
      <c r="G91" s="5" t="s">
        <v>134</v>
      </c>
    </row>
    <row r="92" customFormat="false" ht="19.5" hidden="false" customHeight="true" outlineLevel="0" collapsed="false">
      <c r="A92" s="4" t="s">
        <v>60</v>
      </c>
      <c r="C92" s="5" t="s">
        <v>10</v>
      </c>
      <c r="D92" s="15"/>
      <c r="G92" s="5" t="s">
        <v>135</v>
      </c>
    </row>
    <row r="93" customFormat="false" ht="19.5" hidden="false" customHeight="true" outlineLevel="0" collapsed="false">
      <c r="E93" s="10" t="s">
        <v>136</v>
      </c>
      <c r="F93" s="11" t="s">
        <v>39</v>
      </c>
    </row>
    <row r="94" customFormat="false" ht="19.5" hidden="false" customHeight="true" outlineLevel="0" collapsed="false"/>
    <row r="95" customFormat="false" ht="19.5" hidden="false" customHeight="true" outlineLevel="0" collapsed="false">
      <c r="A95" s="22" t="s">
        <v>137</v>
      </c>
    </row>
    <row r="96" customFormat="false" ht="19.5" hidden="false" customHeight="true" outlineLevel="0" collapsed="false">
      <c r="A96" s="3" t="s">
        <v>2</v>
      </c>
      <c r="B96" s="3" t="s">
        <v>3</v>
      </c>
      <c r="C96" s="3" t="s">
        <v>4</v>
      </c>
      <c r="D96" s="3" t="s">
        <v>5</v>
      </c>
      <c r="E96" s="3" t="s">
        <v>6</v>
      </c>
      <c r="F96" s="3" t="s">
        <v>7</v>
      </c>
      <c r="G96" s="3" t="s">
        <v>8</v>
      </c>
    </row>
    <row r="97" customFormat="false" ht="19.5" hidden="false" customHeight="true" outlineLevel="0" collapsed="false">
      <c r="A97" s="4" t="s">
        <v>138</v>
      </c>
      <c r="C97" s="5" t="s">
        <v>10</v>
      </c>
      <c r="D97" s="15"/>
      <c r="E97" s="7" t="n">
        <v>46321</v>
      </c>
      <c r="G97" s="5" t="s">
        <v>139</v>
      </c>
    </row>
    <row r="98" customFormat="false" ht="19.5" hidden="false" customHeight="true" outlineLevel="0" collapsed="false">
      <c r="A98" s="4" t="s">
        <v>140</v>
      </c>
      <c r="C98" s="5" t="s">
        <v>10</v>
      </c>
      <c r="D98" s="15"/>
      <c r="E98" s="7" t="n">
        <v>46322</v>
      </c>
      <c r="G98" s="5" t="s">
        <v>141</v>
      </c>
    </row>
    <row r="99" customFormat="false" ht="19.5" hidden="false" customHeight="true" outlineLevel="0" collapsed="false">
      <c r="A99" s="4" t="s">
        <v>142</v>
      </c>
      <c r="C99" s="5" t="s">
        <v>10</v>
      </c>
      <c r="D99" s="15"/>
      <c r="E99" s="7" t="n">
        <v>46323</v>
      </c>
      <c r="G99" s="5" t="s">
        <v>143</v>
      </c>
    </row>
    <row r="100" customFormat="false" ht="19.5" hidden="false" customHeight="true" outlineLevel="0" collapsed="false">
      <c r="A100" s="4" t="s">
        <v>144</v>
      </c>
      <c r="C100" s="5" t="s">
        <v>10</v>
      </c>
      <c r="D100" s="15"/>
      <c r="E100" s="7" t="n">
        <v>46324</v>
      </c>
      <c r="G100" s="5" t="s">
        <v>145</v>
      </c>
    </row>
    <row r="101" customFormat="false" ht="19.5" hidden="false" customHeight="true" outlineLevel="0" collapsed="false">
      <c r="A101" s="4" t="s">
        <v>60</v>
      </c>
      <c r="C101" s="5" t="s">
        <v>10</v>
      </c>
      <c r="D101" s="15"/>
      <c r="G101" s="5" t="s">
        <v>146</v>
      </c>
    </row>
    <row r="102" customFormat="false" ht="19.5" hidden="false" customHeight="true" outlineLevel="0" collapsed="false">
      <c r="E102" s="10" t="s">
        <v>147</v>
      </c>
      <c r="F102" s="11" t="s">
        <v>39</v>
      </c>
    </row>
    <row r="103" customFormat="false" ht="19.5" hidden="false" customHeight="true" outlineLevel="0" collapsed="false"/>
    <row r="104" customFormat="false" ht="19.5" hidden="false" customHeight="true" outlineLevel="0" collapsed="false">
      <c r="A104" s="18" t="s">
        <v>148</v>
      </c>
    </row>
    <row r="105" customFormat="false" ht="19.5" hidden="false" customHeight="true" outlineLevel="0" collapsed="false">
      <c r="A105" s="3" t="s">
        <v>2</v>
      </c>
      <c r="B105" s="3" t="s">
        <v>3</v>
      </c>
      <c r="C105" s="3" t="s">
        <v>4</v>
      </c>
      <c r="D105" s="3" t="s">
        <v>5</v>
      </c>
      <c r="E105" s="3" t="s">
        <v>6</v>
      </c>
      <c r="F105" s="3" t="s">
        <v>7</v>
      </c>
      <c r="G105" s="3" t="s">
        <v>8</v>
      </c>
    </row>
    <row r="106" customFormat="false" ht="19.5" hidden="false" customHeight="true" outlineLevel="0" collapsed="false">
      <c r="A106" s="4" t="s">
        <v>149</v>
      </c>
      <c r="C106" s="5" t="s">
        <v>10</v>
      </c>
      <c r="D106" s="15"/>
      <c r="E106" s="7" t="n">
        <v>46328</v>
      </c>
      <c r="G106" s="5" t="s">
        <v>150</v>
      </c>
    </row>
    <row r="107" customFormat="false" ht="19.5" hidden="false" customHeight="true" outlineLevel="0" collapsed="false">
      <c r="A107" s="4" t="s">
        <v>151</v>
      </c>
      <c r="C107" s="5" t="s">
        <v>10</v>
      </c>
      <c r="D107" s="15"/>
      <c r="E107" s="7" t="n">
        <v>46329</v>
      </c>
      <c r="G107" s="5" t="s">
        <v>152</v>
      </c>
    </row>
    <row r="108" customFormat="false" ht="19.5" hidden="false" customHeight="true" outlineLevel="0" collapsed="false">
      <c r="A108" s="4" t="s">
        <v>153</v>
      </c>
      <c r="C108" s="5" t="s">
        <v>10</v>
      </c>
      <c r="D108" s="15"/>
      <c r="E108" s="7" t="n">
        <v>46330</v>
      </c>
      <c r="G108" s="5" t="s">
        <v>154</v>
      </c>
    </row>
    <row r="109" customFormat="false" ht="19.5" hidden="false" customHeight="true" outlineLevel="0" collapsed="false">
      <c r="A109" s="4" t="s">
        <v>155</v>
      </c>
      <c r="C109" s="5" t="s">
        <v>10</v>
      </c>
      <c r="D109" s="15"/>
      <c r="E109" s="7" t="n">
        <v>46331</v>
      </c>
      <c r="G109" s="5" t="s">
        <v>156</v>
      </c>
    </row>
    <row r="110" customFormat="false" ht="19.5" hidden="false" customHeight="true" outlineLevel="0" collapsed="false">
      <c r="A110" s="4" t="s">
        <v>60</v>
      </c>
      <c r="C110" s="5" t="s">
        <v>10</v>
      </c>
      <c r="D110" s="15"/>
      <c r="G110" s="5" t="s">
        <v>157</v>
      </c>
    </row>
    <row r="111" customFormat="false" ht="19.5" hidden="false" customHeight="true" outlineLevel="0" collapsed="false">
      <c r="E111" s="10" t="s">
        <v>158</v>
      </c>
      <c r="F111" s="11" t="s">
        <v>39</v>
      </c>
    </row>
    <row r="112" customFormat="false" ht="19.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
    <col collapsed="false" customWidth="true" hidden="false" outlineLevel="0" max="3" min="3" style="0" width="34"/>
    <col collapsed="false" customWidth="true" hidden="false" outlineLevel="0" max="4" min="4" style="0" width="13"/>
    <col collapsed="false" customWidth="true" hidden="false" outlineLevel="0" max="5" min="5" style="0" width="8"/>
    <col collapsed="false" customWidth="true" hidden="false" outlineLevel="0" max="6" min="6" style="0" width="9"/>
    <col collapsed="false" customWidth="true" hidden="false" outlineLevel="0" max="7" min="7" style="0" width="12"/>
    <col collapsed="false" customWidth="true" hidden="false" outlineLevel="0" max="8" min="8" style="0" width="13"/>
    <col collapsed="false" customWidth="true" hidden="false" outlineLevel="0" max="9" min="9" style="0" width="20"/>
  </cols>
  <sheetData>
    <row r="1" customFormat="false" ht="17.35" hidden="false" customHeight="false" outlineLevel="0" collapsed="false">
      <c r="A1" s="23" t="s">
        <v>159</v>
      </c>
    </row>
    <row r="2" customFormat="false" ht="15" hidden="false" customHeight="false" outlineLevel="0" collapsed="false">
      <c r="A2" s="24" t="s">
        <v>160</v>
      </c>
    </row>
    <row r="3" customFormat="false" ht="15" hidden="false" customHeight="false" outlineLevel="0" collapsed="false">
      <c r="A3" s="25" t="s">
        <v>161</v>
      </c>
    </row>
    <row r="5" customFormat="false" ht="15" hidden="false" customHeight="false" outlineLevel="0" collapsed="false">
      <c r="A5" s="26" t="s">
        <v>162</v>
      </c>
      <c r="B5" s="27" t="n">
        <v>0.5</v>
      </c>
      <c r="C5" s="24" t="s">
        <v>163</v>
      </c>
    </row>
    <row r="7" customFormat="false" ht="15" hidden="false" customHeight="false" outlineLevel="0" collapsed="false">
      <c r="A7" s="28" t="s">
        <v>164</v>
      </c>
      <c r="B7" s="28" t="s">
        <v>165</v>
      </c>
      <c r="C7" s="28" t="s">
        <v>166</v>
      </c>
      <c r="D7" s="28" t="s">
        <v>167</v>
      </c>
      <c r="E7" s="28" t="s">
        <v>11</v>
      </c>
      <c r="F7" s="28" t="s">
        <v>168</v>
      </c>
      <c r="G7" s="28" t="s">
        <v>169</v>
      </c>
      <c r="H7" s="28" t="s">
        <v>170</v>
      </c>
      <c r="I7" s="28" t="s">
        <v>171</v>
      </c>
    </row>
    <row r="8" customFormat="false" ht="15" hidden="false" customHeight="false" outlineLevel="0" collapsed="false">
      <c r="A8" s="29" t="s">
        <v>172</v>
      </c>
      <c r="B8" s="29" t="s">
        <v>173</v>
      </c>
      <c r="C8" s="29" t="s">
        <v>174</v>
      </c>
      <c r="D8" s="29" t="n">
        <f aca="false">COUNTIF('Rubric Checklist'!$C$5:$C$50,$B8)</f>
        <v>5</v>
      </c>
      <c r="E8" s="29" t="n">
        <f aca="false">COUNTIFS('Rubric Checklist'!$C$5:$C$50,$B8,'Rubric Checklist'!$I$5:$I$50,"Done")</f>
        <v>2</v>
      </c>
      <c r="F8" s="29" t="n">
        <f aca="false">COUNTIFS('Rubric Checklist'!$C$5:$C$50,$B8,'Rubric Checklist'!$I$5:$I$50,"Partial")</f>
        <v>3</v>
      </c>
      <c r="G8" s="29" t="n">
        <f aca="false">COUNTIFS('Rubric Checklist'!$C$5:$C$50,$B8,'Rubric Checklist'!$I$5:$I$50,"Not started")</f>
        <v>0</v>
      </c>
      <c r="H8" s="30" t="n">
        <f aca="false">IF(D8=0,0,(E8+$B$5*F8)/D8)</f>
        <v>0.7</v>
      </c>
      <c r="I8" s="29" t="n">
        <f aca="false">COUNTIF('Board Additions'!$G$5:$G$22,"*"&amp;$B8&amp;".*")</f>
        <v>3</v>
      </c>
    </row>
    <row r="9" customFormat="false" ht="15" hidden="false" customHeight="false" outlineLevel="0" collapsed="false">
      <c r="A9" s="29" t="s">
        <v>172</v>
      </c>
      <c r="B9" s="29" t="s">
        <v>175</v>
      </c>
      <c r="C9" s="29" t="s">
        <v>176</v>
      </c>
      <c r="D9" s="29" t="n">
        <f aca="false">COUNTIF('Rubric Checklist'!$C$5:$C$50,$B9)</f>
        <v>5</v>
      </c>
      <c r="E9" s="29" t="n">
        <f aca="false">COUNTIFS('Rubric Checklist'!$C$5:$C$50,$B9,'Rubric Checklist'!$I$5:$I$50,"Done")</f>
        <v>4</v>
      </c>
      <c r="F9" s="29" t="n">
        <f aca="false">COUNTIFS('Rubric Checklist'!$C$5:$C$50,$B9,'Rubric Checklist'!$I$5:$I$50,"Partial")</f>
        <v>1</v>
      </c>
      <c r="G9" s="29" t="n">
        <f aca="false">COUNTIFS('Rubric Checklist'!$C$5:$C$50,$B9,'Rubric Checklist'!$I$5:$I$50,"Not started")</f>
        <v>0</v>
      </c>
      <c r="H9" s="30" t="n">
        <f aca="false">IF(D9=0,0,(E9+$B$5*F9)/D9)</f>
        <v>0.9</v>
      </c>
      <c r="I9" s="29" t="n">
        <f aca="false">COUNTIF('Board Additions'!$G$5:$G$22,"*"&amp;$B9&amp;".*")</f>
        <v>0</v>
      </c>
    </row>
    <row r="10" customFormat="false" ht="15" hidden="false" customHeight="false" outlineLevel="0" collapsed="false">
      <c r="A10" s="29" t="s">
        <v>172</v>
      </c>
      <c r="B10" s="29" t="s">
        <v>177</v>
      </c>
      <c r="C10" s="29" t="s">
        <v>178</v>
      </c>
      <c r="D10" s="29" t="n">
        <f aca="false">COUNTIF('Rubric Checklist'!$C$5:$C$50,$B10)</f>
        <v>5</v>
      </c>
      <c r="E10" s="29" t="n">
        <f aca="false">COUNTIFS('Rubric Checklist'!$C$5:$C$50,$B10,'Rubric Checklist'!$I$5:$I$50,"Done")</f>
        <v>2</v>
      </c>
      <c r="F10" s="29" t="n">
        <f aca="false">COUNTIFS('Rubric Checklist'!$C$5:$C$50,$B10,'Rubric Checklist'!$I$5:$I$50,"Partial")</f>
        <v>1</v>
      </c>
      <c r="G10" s="29" t="n">
        <f aca="false">COUNTIFS('Rubric Checklist'!$C$5:$C$50,$B10,'Rubric Checklist'!$I$5:$I$50,"Not started")</f>
        <v>2</v>
      </c>
      <c r="H10" s="30" t="n">
        <f aca="false">IF(D10=0,0,(E10+$B$5*F10)/D10)</f>
        <v>0.5</v>
      </c>
      <c r="I10" s="29" t="n">
        <f aca="false">COUNTIF('Board Additions'!$G$5:$G$22,"*"&amp;$B10&amp;".*")</f>
        <v>2</v>
      </c>
    </row>
    <row r="11" customFormat="false" ht="15" hidden="false" customHeight="false" outlineLevel="0" collapsed="false">
      <c r="A11" s="29" t="s">
        <v>172</v>
      </c>
      <c r="B11" s="29" t="s">
        <v>179</v>
      </c>
      <c r="C11" s="29" t="s">
        <v>180</v>
      </c>
      <c r="D11" s="29" t="n">
        <f aca="false">COUNTIF('Rubric Checklist'!$C$5:$C$50,$B11)</f>
        <v>5</v>
      </c>
      <c r="E11" s="29" t="n">
        <f aca="false">COUNTIFS('Rubric Checklist'!$C$5:$C$50,$B11,'Rubric Checklist'!$I$5:$I$50,"Done")</f>
        <v>0</v>
      </c>
      <c r="F11" s="29" t="n">
        <f aca="false">COUNTIFS('Rubric Checklist'!$C$5:$C$50,$B11,'Rubric Checklist'!$I$5:$I$50,"Partial")</f>
        <v>5</v>
      </c>
      <c r="G11" s="29" t="n">
        <f aca="false">COUNTIFS('Rubric Checklist'!$C$5:$C$50,$B11,'Rubric Checklist'!$I$5:$I$50,"Not started")</f>
        <v>0</v>
      </c>
      <c r="H11" s="30" t="n">
        <f aca="false">IF(D11=0,0,(E11+$B$5*F11)/D11)</f>
        <v>0.5</v>
      </c>
      <c r="I11" s="29" t="n">
        <f aca="false">COUNTIF('Board Additions'!$G$5:$G$22,"*"&amp;$B11&amp;".*")</f>
        <v>4</v>
      </c>
    </row>
    <row r="12" customFormat="false" ht="15" hidden="false" customHeight="false" outlineLevel="0" collapsed="false">
      <c r="A12" s="29" t="s">
        <v>181</v>
      </c>
      <c r="B12" s="29" t="s">
        <v>182</v>
      </c>
      <c r="C12" s="29" t="s">
        <v>183</v>
      </c>
      <c r="D12" s="29" t="n">
        <f aca="false">COUNTIF('Rubric Checklist'!$C$5:$C$50,$B12)</f>
        <v>6</v>
      </c>
      <c r="E12" s="29" t="n">
        <f aca="false">COUNTIFS('Rubric Checklist'!$C$5:$C$50,$B12,'Rubric Checklist'!$I$5:$I$50,"Done")</f>
        <v>1</v>
      </c>
      <c r="F12" s="29" t="n">
        <f aca="false">COUNTIFS('Rubric Checklist'!$C$5:$C$50,$B12,'Rubric Checklist'!$I$5:$I$50,"Partial")</f>
        <v>4</v>
      </c>
      <c r="G12" s="29" t="n">
        <f aca="false">COUNTIFS('Rubric Checklist'!$C$5:$C$50,$B12,'Rubric Checklist'!$I$5:$I$50,"Not started")</f>
        <v>1</v>
      </c>
      <c r="H12" s="30" t="n">
        <f aca="false">IF(D12=0,0,(E12+$B$5*F12)/D12)</f>
        <v>0.5</v>
      </c>
      <c r="I12" s="29" t="n">
        <f aca="false">COUNTIF('Board Additions'!$G$5:$G$22,"*"&amp;$B12&amp;".*")</f>
        <v>4</v>
      </c>
    </row>
    <row r="13" customFormat="false" ht="15" hidden="false" customHeight="false" outlineLevel="0" collapsed="false">
      <c r="A13" s="29" t="s">
        <v>181</v>
      </c>
      <c r="B13" s="29" t="s">
        <v>184</v>
      </c>
      <c r="C13" s="29" t="s">
        <v>185</v>
      </c>
      <c r="D13" s="29" t="n">
        <f aca="false">COUNTIF('Rubric Checklist'!$C$5:$C$50,$B13)</f>
        <v>4</v>
      </c>
      <c r="E13" s="29" t="n">
        <f aca="false">COUNTIFS('Rubric Checklist'!$C$5:$C$50,$B13,'Rubric Checklist'!$I$5:$I$50,"Done")</f>
        <v>1</v>
      </c>
      <c r="F13" s="29" t="n">
        <f aca="false">COUNTIFS('Rubric Checklist'!$C$5:$C$50,$B13,'Rubric Checklist'!$I$5:$I$50,"Partial")</f>
        <v>3</v>
      </c>
      <c r="G13" s="29" t="n">
        <f aca="false">COUNTIFS('Rubric Checklist'!$C$5:$C$50,$B13,'Rubric Checklist'!$I$5:$I$50,"Not started")</f>
        <v>0</v>
      </c>
      <c r="H13" s="30" t="n">
        <f aca="false">IF(D13=0,0,(E13+$B$5*F13)/D13)</f>
        <v>0.625</v>
      </c>
      <c r="I13" s="29" t="n">
        <f aca="false">COUNTIF('Board Additions'!$G$5:$G$22,"*"&amp;$B13&amp;".*")</f>
        <v>3</v>
      </c>
    </row>
    <row r="14" customFormat="false" ht="15" hidden="false" customHeight="false" outlineLevel="0" collapsed="false">
      <c r="A14" s="29" t="s">
        <v>181</v>
      </c>
      <c r="B14" s="29" t="s">
        <v>186</v>
      </c>
      <c r="C14" s="29" t="s">
        <v>187</v>
      </c>
      <c r="D14" s="29" t="n">
        <f aca="false">COUNTIF('Rubric Checklist'!$C$5:$C$50,$B14)</f>
        <v>3</v>
      </c>
      <c r="E14" s="29" t="n">
        <f aca="false">COUNTIFS('Rubric Checklist'!$C$5:$C$50,$B14,'Rubric Checklist'!$I$5:$I$50,"Done")</f>
        <v>0</v>
      </c>
      <c r="F14" s="29" t="n">
        <f aca="false">COUNTIFS('Rubric Checklist'!$C$5:$C$50,$B14,'Rubric Checklist'!$I$5:$I$50,"Partial")</f>
        <v>3</v>
      </c>
      <c r="G14" s="29" t="n">
        <f aca="false">COUNTIFS('Rubric Checklist'!$C$5:$C$50,$B14,'Rubric Checklist'!$I$5:$I$50,"Not started")</f>
        <v>0</v>
      </c>
      <c r="H14" s="30" t="n">
        <f aca="false">IF(D14=0,0,(E14+$B$5*F14)/D14)</f>
        <v>0.5</v>
      </c>
      <c r="I14" s="29" t="n">
        <f aca="false">COUNTIF('Board Additions'!$G$5:$G$22,"*"&amp;$B14&amp;".*")</f>
        <v>3</v>
      </c>
    </row>
    <row r="15" customFormat="false" ht="15" hidden="false" customHeight="false" outlineLevel="0" collapsed="false">
      <c r="A15" s="29" t="s">
        <v>181</v>
      </c>
      <c r="B15" s="29" t="s">
        <v>188</v>
      </c>
      <c r="C15" s="29" t="s">
        <v>189</v>
      </c>
      <c r="D15" s="29" t="n">
        <f aca="false">COUNTIF('Rubric Checklist'!$C$5:$C$50,$B15)</f>
        <v>5</v>
      </c>
      <c r="E15" s="29" t="n">
        <f aca="false">COUNTIFS('Rubric Checklist'!$C$5:$C$50,$B15,'Rubric Checklist'!$I$5:$I$50,"Done")</f>
        <v>0</v>
      </c>
      <c r="F15" s="29" t="n">
        <f aca="false">COUNTIFS('Rubric Checklist'!$C$5:$C$50,$B15,'Rubric Checklist'!$I$5:$I$50,"Partial")</f>
        <v>2</v>
      </c>
      <c r="G15" s="29" t="n">
        <f aca="false">COUNTIFS('Rubric Checklist'!$C$5:$C$50,$B15,'Rubric Checklist'!$I$5:$I$50,"Not started")</f>
        <v>3</v>
      </c>
      <c r="H15" s="30" t="n">
        <f aca="false">IF(D15=0,0,(E15+$B$5*F15)/D15)</f>
        <v>0.2</v>
      </c>
      <c r="I15" s="29" t="n">
        <f aca="false">COUNTIF('Board Additions'!$G$5:$G$22,"*"&amp;$B15&amp;".*")</f>
        <v>3</v>
      </c>
    </row>
    <row r="16" customFormat="false" ht="15" hidden="false" customHeight="false" outlineLevel="0" collapsed="false">
      <c r="A16" s="29" t="s">
        <v>181</v>
      </c>
      <c r="B16" s="29" t="s">
        <v>190</v>
      </c>
      <c r="C16" s="29" t="s">
        <v>191</v>
      </c>
      <c r="D16" s="29" t="n">
        <f aca="false">COUNTIF('Rubric Checklist'!$C$5:$C$50,$B16)</f>
        <v>4</v>
      </c>
      <c r="E16" s="29" t="n">
        <f aca="false">COUNTIFS('Rubric Checklist'!$C$5:$C$50,$B16,'Rubric Checklist'!$I$5:$I$50,"Done")</f>
        <v>2</v>
      </c>
      <c r="F16" s="29" t="n">
        <f aca="false">COUNTIFS('Rubric Checklist'!$C$5:$C$50,$B16,'Rubric Checklist'!$I$5:$I$50,"Partial")</f>
        <v>2</v>
      </c>
      <c r="G16" s="29" t="n">
        <f aca="false">COUNTIFS('Rubric Checklist'!$C$5:$C$50,$B16,'Rubric Checklist'!$I$5:$I$50,"Not started")</f>
        <v>0</v>
      </c>
      <c r="H16" s="30" t="n">
        <f aca="false">IF(D16=0,0,(E16+$B$5*F16)/D16)</f>
        <v>0.75</v>
      </c>
      <c r="I16" s="29" t="n">
        <f aca="false">COUNTIF('Board Additions'!$G$5:$G$22,"*"&amp;$B16&amp;".*")</f>
        <v>2</v>
      </c>
    </row>
    <row r="17" customFormat="false" ht="15" hidden="false" customHeight="false" outlineLevel="0" collapsed="false">
      <c r="A17" s="29" t="s">
        <v>181</v>
      </c>
      <c r="B17" s="29" t="s">
        <v>192</v>
      </c>
      <c r="C17" s="29" t="s">
        <v>193</v>
      </c>
      <c r="D17" s="29" t="n">
        <f aca="false">COUNTIF('Rubric Checklist'!$C$5:$C$50,$B17)</f>
        <v>4</v>
      </c>
      <c r="E17" s="29" t="n">
        <f aca="false">COUNTIFS('Rubric Checklist'!$C$5:$C$50,$B17,'Rubric Checklist'!$I$5:$I$50,"Done")</f>
        <v>2</v>
      </c>
      <c r="F17" s="29" t="n">
        <f aca="false">COUNTIFS('Rubric Checklist'!$C$5:$C$50,$B17,'Rubric Checklist'!$I$5:$I$50,"Partial")</f>
        <v>1</v>
      </c>
      <c r="G17" s="29" t="n">
        <f aca="false">COUNTIFS('Rubric Checklist'!$C$5:$C$50,$B17,'Rubric Checklist'!$I$5:$I$50,"Not started")</f>
        <v>1</v>
      </c>
      <c r="H17" s="30" t="n">
        <f aca="false">IF(D17=0,0,(E17+$B$5*F17)/D17)</f>
        <v>0.625</v>
      </c>
      <c r="I17" s="29" t="n">
        <f aca="false">COUNTIF('Board Additions'!$G$5:$G$22,"*"&amp;$B17&amp;".*")</f>
        <v>1</v>
      </c>
    </row>
    <row r="18" customFormat="false" ht="15" hidden="false" customHeight="false" outlineLevel="0" collapsed="false">
      <c r="H18" s="31"/>
    </row>
    <row r="19" customFormat="false" ht="15" hidden="false" customHeight="false" outlineLevel="0" collapsed="false">
      <c r="A19" s="32" t="s">
        <v>172</v>
      </c>
      <c r="D19" s="32" t="n">
        <f aca="false">SUMIF($A$8:$A$17,$A19,D$8:D$17)</f>
        <v>20</v>
      </c>
      <c r="E19" s="32" t="n">
        <f aca="false">SUMIF($A$8:$A$17,$A19,E$8:E$17)</f>
        <v>8</v>
      </c>
      <c r="F19" s="32" t="n">
        <f aca="false">SUMIF($A$8:$A$17,$A19,F$8:F$17)</f>
        <v>10</v>
      </c>
      <c r="G19" s="32" t="n">
        <f aca="false">SUMIF($A$8:$A$17,$A19,G$8:G$17)</f>
        <v>2</v>
      </c>
      <c r="H19" s="33" t="n">
        <f aca="false">IF(D19=0,0,(E19+$B$5*F19)/D19)</f>
        <v>0.65</v>
      </c>
      <c r="I19" s="32" t="n">
        <f aca="false">SUMIF($A$8:$A$17,$A19,I$8:I$17)</f>
        <v>9</v>
      </c>
    </row>
    <row r="20" customFormat="false" ht="15" hidden="false" customHeight="false" outlineLevel="0" collapsed="false">
      <c r="A20" s="32" t="s">
        <v>181</v>
      </c>
      <c r="D20" s="32" t="n">
        <f aca="false">SUMIF($A$8:$A$17,$A20,D$8:D$17)</f>
        <v>26</v>
      </c>
      <c r="E20" s="32" t="n">
        <f aca="false">SUMIF($A$8:$A$17,$A20,E$8:E$17)</f>
        <v>6</v>
      </c>
      <c r="F20" s="32" t="n">
        <f aca="false">SUMIF($A$8:$A$17,$A20,F$8:F$17)</f>
        <v>15</v>
      </c>
      <c r="G20" s="32" t="n">
        <f aca="false">SUMIF($A$8:$A$17,$A20,G$8:G$17)</f>
        <v>5</v>
      </c>
      <c r="H20" s="33" t="n">
        <f aca="false">IF(D20=0,0,(E20+$B$5*F20)/D20)</f>
        <v>0.519230769230769</v>
      </c>
      <c r="I20" s="32" t="n">
        <f aca="false">SUMIF($A$8:$A$17,$A20,I$8:I$17)</f>
        <v>16</v>
      </c>
    </row>
    <row r="21" customFormat="false" ht="15" hidden="false" customHeight="false" outlineLevel="0" collapsed="false">
      <c r="A21" s="32" t="s">
        <v>194</v>
      </c>
      <c r="D21" s="32" t="n">
        <f aca="false">SUM(D8:D17)</f>
        <v>46</v>
      </c>
      <c r="E21" s="32" t="n">
        <f aca="false">SUM(E8:E17)</f>
        <v>14</v>
      </c>
      <c r="F21" s="32" t="n">
        <f aca="false">SUM(F8:F17)</f>
        <v>25</v>
      </c>
      <c r="G21" s="32" t="n">
        <f aca="false">SUM(G8:G17)</f>
        <v>7</v>
      </c>
      <c r="H21" s="33" t="n">
        <f aca="false">IF(D21=0,0,(E21+$B$5*F21)/D21)</f>
        <v>0.576086956521739</v>
      </c>
      <c r="I21" s="32" t="n">
        <f aca="false">SUM(I8:I17)</f>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6"/>
    <col collapsed="false" customWidth="true" hidden="false" outlineLevel="0" max="4" min="4" style="0" width="28"/>
    <col collapsed="false" customWidth="true" hidden="false" outlineLevel="0" max="5" min="5" style="0" width="48"/>
    <col collapsed="false" customWidth="true" hidden="false" outlineLevel="0" max="6" min="6" style="0" width="26"/>
    <col collapsed="false" customWidth="true" hidden="false" outlineLevel="0" max="7" min="7" style="0" width="52"/>
    <col collapsed="false" customWidth="true" hidden="false" outlineLevel="0" max="8" min="8" style="0" width="48"/>
    <col collapsed="false" customWidth="true" hidden="false" outlineLevel="0" max="9" min="9" style="0" width="13"/>
    <col collapsed="false" customWidth="true" hidden="false" outlineLevel="0" max="10" min="10" style="0" width="12"/>
  </cols>
  <sheetData>
    <row r="1" customFormat="false" ht="17.35" hidden="false" customHeight="false" outlineLevel="0" collapsed="false">
      <c r="A1" s="23" t="s">
        <v>195</v>
      </c>
    </row>
    <row r="2" customFormat="false" ht="15" hidden="false" customHeight="false" outlineLevel="0" collapsed="false">
      <c r="A2" s="24" t="s">
        <v>196</v>
      </c>
    </row>
    <row r="3" customFormat="false" ht="15" hidden="false" customHeight="false" outlineLevel="0" collapsed="false">
      <c r="A3" s="24" t="s">
        <v>197</v>
      </c>
    </row>
    <row r="4" customFormat="false" ht="15" hidden="false" customHeight="false" outlineLevel="0" collapsed="false">
      <c r="A4" s="28" t="s">
        <v>198</v>
      </c>
      <c r="B4" s="28" t="s">
        <v>164</v>
      </c>
      <c r="C4" s="28" t="s">
        <v>165</v>
      </c>
      <c r="D4" s="28" t="s">
        <v>166</v>
      </c>
      <c r="E4" s="28" t="s">
        <v>199</v>
      </c>
      <c r="F4" s="28" t="s">
        <v>200</v>
      </c>
      <c r="G4" s="28" t="s">
        <v>201</v>
      </c>
      <c r="H4" s="28" t="s">
        <v>202</v>
      </c>
      <c r="I4" s="28" t="s">
        <v>5</v>
      </c>
      <c r="J4" s="28" t="s">
        <v>203</v>
      </c>
    </row>
    <row r="5" customFormat="false" ht="35.05" hidden="false" customHeight="false" outlineLevel="0" collapsed="false">
      <c r="A5" s="29" t="s">
        <v>204</v>
      </c>
      <c r="B5" s="29" t="s">
        <v>172</v>
      </c>
      <c r="C5" s="29" t="s">
        <v>173</v>
      </c>
      <c r="D5" s="29" t="s">
        <v>174</v>
      </c>
      <c r="E5" s="29" t="s">
        <v>205</v>
      </c>
      <c r="F5" s="29" t="s">
        <v>206</v>
      </c>
      <c r="G5" s="29" t="s">
        <v>207</v>
      </c>
      <c r="H5" s="29" t="s">
        <v>208</v>
      </c>
      <c r="I5" s="29" t="s">
        <v>11</v>
      </c>
      <c r="J5" s="34"/>
    </row>
    <row r="6" customFormat="false" ht="35.05" hidden="false" customHeight="false" outlineLevel="0" collapsed="false">
      <c r="A6" s="29" t="s">
        <v>209</v>
      </c>
      <c r="B6" s="29" t="s">
        <v>172</v>
      </c>
      <c r="C6" s="29" t="s">
        <v>173</v>
      </c>
      <c r="D6" s="29" t="s">
        <v>174</v>
      </c>
      <c r="E6" s="29" t="s">
        <v>210</v>
      </c>
      <c r="F6" s="29" t="s">
        <v>211</v>
      </c>
      <c r="G6" s="29" t="s">
        <v>212</v>
      </c>
      <c r="H6" s="29" t="s">
        <v>213</v>
      </c>
      <c r="I6" s="29" t="s">
        <v>11</v>
      </c>
      <c r="J6" s="34"/>
    </row>
    <row r="7" customFormat="false" ht="35.05" hidden="false" customHeight="false" outlineLevel="0" collapsed="false">
      <c r="A7" s="29" t="s">
        <v>214</v>
      </c>
      <c r="B7" s="29" t="s">
        <v>172</v>
      </c>
      <c r="C7" s="29" t="s">
        <v>173</v>
      </c>
      <c r="D7" s="29" t="s">
        <v>174</v>
      </c>
      <c r="E7" s="29" t="s">
        <v>215</v>
      </c>
      <c r="F7" s="29" t="s">
        <v>216</v>
      </c>
      <c r="G7" s="29" t="s">
        <v>217</v>
      </c>
      <c r="H7" s="29" t="s">
        <v>218</v>
      </c>
      <c r="I7" s="29" t="s">
        <v>168</v>
      </c>
      <c r="J7" s="34" t="n">
        <v>46309</v>
      </c>
    </row>
    <row r="8" customFormat="false" ht="35.05" hidden="false" customHeight="false" outlineLevel="0" collapsed="false">
      <c r="A8" s="29" t="s">
        <v>219</v>
      </c>
      <c r="B8" s="29" t="s">
        <v>172</v>
      </c>
      <c r="C8" s="29" t="s">
        <v>173</v>
      </c>
      <c r="D8" s="29" t="s">
        <v>174</v>
      </c>
      <c r="E8" s="29" t="s">
        <v>220</v>
      </c>
      <c r="F8" s="29" t="s">
        <v>221</v>
      </c>
      <c r="G8" s="29" t="s">
        <v>222</v>
      </c>
      <c r="H8" s="29" t="s">
        <v>223</v>
      </c>
      <c r="I8" s="29" t="s">
        <v>168</v>
      </c>
      <c r="J8" s="34" t="n">
        <v>46308</v>
      </c>
    </row>
    <row r="9" customFormat="false" ht="23.85" hidden="false" customHeight="false" outlineLevel="0" collapsed="false">
      <c r="A9" s="29" t="s">
        <v>224</v>
      </c>
      <c r="B9" s="29" t="s">
        <v>172</v>
      </c>
      <c r="C9" s="29" t="s">
        <v>173</v>
      </c>
      <c r="D9" s="29" t="s">
        <v>174</v>
      </c>
      <c r="E9" s="29" t="s">
        <v>225</v>
      </c>
      <c r="F9" s="29" t="s">
        <v>226</v>
      </c>
      <c r="G9" s="29" t="s">
        <v>227</v>
      </c>
      <c r="H9" s="29" t="s">
        <v>228</v>
      </c>
      <c r="I9" s="29" t="s">
        <v>168</v>
      </c>
      <c r="J9" s="34" t="n">
        <v>46309</v>
      </c>
    </row>
    <row r="10" customFormat="false" ht="23.85" hidden="false" customHeight="false" outlineLevel="0" collapsed="false">
      <c r="A10" s="29" t="s">
        <v>229</v>
      </c>
      <c r="B10" s="29" t="s">
        <v>172</v>
      </c>
      <c r="C10" s="29" t="s">
        <v>175</v>
      </c>
      <c r="D10" s="29" t="s">
        <v>176</v>
      </c>
      <c r="E10" s="29" t="s">
        <v>230</v>
      </c>
      <c r="F10" s="29" t="s">
        <v>231</v>
      </c>
      <c r="G10" s="29" t="s">
        <v>232</v>
      </c>
      <c r="H10" s="29" t="s">
        <v>233</v>
      </c>
      <c r="I10" s="29" t="s">
        <v>11</v>
      </c>
      <c r="J10" s="34"/>
    </row>
    <row r="11" customFormat="false" ht="35.05" hidden="false" customHeight="false" outlineLevel="0" collapsed="false">
      <c r="A11" s="29" t="s">
        <v>234</v>
      </c>
      <c r="B11" s="29" t="s">
        <v>172</v>
      </c>
      <c r="C11" s="29" t="s">
        <v>175</v>
      </c>
      <c r="D11" s="29" t="s">
        <v>176</v>
      </c>
      <c r="E11" s="29" t="s">
        <v>235</v>
      </c>
      <c r="F11" s="29" t="s">
        <v>236</v>
      </c>
      <c r="G11" s="29" t="s">
        <v>237</v>
      </c>
      <c r="H11" s="29" t="s">
        <v>238</v>
      </c>
      <c r="I11" s="29" t="s">
        <v>11</v>
      </c>
      <c r="J11" s="34"/>
    </row>
    <row r="12" customFormat="false" ht="23.85" hidden="false" customHeight="false" outlineLevel="0" collapsed="false">
      <c r="A12" s="29" t="s">
        <v>239</v>
      </c>
      <c r="B12" s="29" t="s">
        <v>172</v>
      </c>
      <c r="C12" s="29" t="s">
        <v>175</v>
      </c>
      <c r="D12" s="29" t="s">
        <v>176</v>
      </c>
      <c r="E12" s="29" t="s">
        <v>240</v>
      </c>
      <c r="F12" s="29" t="s">
        <v>241</v>
      </c>
      <c r="G12" s="29" t="s">
        <v>242</v>
      </c>
      <c r="H12" s="29" t="s">
        <v>233</v>
      </c>
      <c r="I12" s="29" t="s">
        <v>11</v>
      </c>
      <c r="J12" s="34"/>
    </row>
    <row r="13" customFormat="false" ht="35.05" hidden="false" customHeight="false" outlineLevel="0" collapsed="false">
      <c r="A13" s="29" t="s">
        <v>243</v>
      </c>
      <c r="B13" s="29" t="s">
        <v>172</v>
      </c>
      <c r="C13" s="29" t="s">
        <v>175</v>
      </c>
      <c r="D13" s="29" t="s">
        <v>176</v>
      </c>
      <c r="E13" s="29" t="s">
        <v>244</v>
      </c>
      <c r="F13" s="29" t="s">
        <v>245</v>
      </c>
      <c r="G13" s="29" t="s">
        <v>246</v>
      </c>
      <c r="H13" s="29" t="s">
        <v>247</v>
      </c>
      <c r="I13" s="29" t="s">
        <v>168</v>
      </c>
      <c r="J13" s="34"/>
    </row>
    <row r="14" customFormat="false" ht="23.85" hidden="false" customHeight="false" outlineLevel="0" collapsed="false">
      <c r="A14" s="29" t="s">
        <v>248</v>
      </c>
      <c r="B14" s="29" t="s">
        <v>172</v>
      </c>
      <c r="C14" s="29" t="s">
        <v>175</v>
      </c>
      <c r="D14" s="29" t="s">
        <v>176</v>
      </c>
      <c r="E14" s="29" t="s">
        <v>249</v>
      </c>
      <c r="F14" s="29" t="s">
        <v>250</v>
      </c>
      <c r="G14" s="29" t="s">
        <v>251</v>
      </c>
      <c r="H14" s="29" t="s">
        <v>233</v>
      </c>
      <c r="I14" s="29" t="s">
        <v>11</v>
      </c>
      <c r="J14" s="34"/>
    </row>
    <row r="15" customFormat="false" ht="23.85" hidden="false" customHeight="false" outlineLevel="0" collapsed="false">
      <c r="A15" s="29" t="s">
        <v>252</v>
      </c>
      <c r="B15" s="29" t="s">
        <v>172</v>
      </c>
      <c r="C15" s="29" t="s">
        <v>177</v>
      </c>
      <c r="D15" s="29" t="s">
        <v>178</v>
      </c>
      <c r="E15" s="29" t="s">
        <v>253</v>
      </c>
      <c r="F15" s="29" t="s">
        <v>254</v>
      </c>
      <c r="G15" s="29" t="s">
        <v>255</v>
      </c>
      <c r="H15" s="29" t="s">
        <v>256</v>
      </c>
      <c r="I15" s="29" t="s">
        <v>11</v>
      </c>
      <c r="J15" s="34"/>
    </row>
    <row r="16" customFormat="false" ht="23.85" hidden="false" customHeight="false" outlineLevel="0" collapsed="false">
      <c r="A16" s="29" t="s">
        <v>257</v>
      </c>
      <c r="B16" s="29" t="s">
        <v>172</v>
      </c>
      <c r="C16" s="29" t="s">
        <v>177</v>
      </c>
      <c r="D16" s="29" t="s">
        <v>178</v>
      </c>
      <c r="E16" s="29" t="s">
        <v>258</v>
      </c>
      <c r="F16" s="29" t="s">
        <v>259</v>
      </c>
      <c r="G16" s="29" t="s">
        <v>260</v>
      </c>
      <c r="H16" s="29" t="s">
        <v>261</v>
      </c>
      <c r="I16" s="29" t="s">
        <v>11</v>
      </c>
      <c r="J16" s="34"/>
    </row>
    <row r="17" customFormat="false" ht="23.85" hidden="false" customHeight="false" outlineLevel="0" collapsed="false">
      <c r="A17" s="29" t="s">
        <v>262</v>
      </c>
      <c r="B17" s="29" t="s">
        <v>172</v>
      </c>
      <c r="C17" s="29" t="s">
        <v>177</v>
      </c>
      <c r="D17" s="29" t="s">
        <v>178</v>
      </c>
      <c r="E17" s="29" t="s">
        <v>263</v>
      </c>
      <c r="F17" s="29" t="s">
        <v>264</v>
      </c>
      <c r="G17" s="29" t="s">
        <v>265</v>
      </c>
      <c r="H17" s="29" t="s">
        <v>266</v>
      </c>
      <c r="I17" s="29" t="s">
        <v>169</v>
      </c>
      <c r="J17" s="34" t="n">
        <v>46315</v>
      </c>
    </row>
    <row r="18" customFormat="false" ht="23.85" hidden="false" customHeight="false" outlineLevel="0" collapsed="false">
      <c r="A18" s="29" t="s">
        <v>267</v>
      </c>
      <c r="B18" s="29" t="s">
        <v>172</v>
      </c>
      <c r="C18" s="29" t="s">
        <v>177</v>
      </c>
      <c r="D18" s="29" t="s">
        <v>178</v>
      </c>
      <c r="E18" s="29" t="s">
        <v>268</v>
      </c>
      <c r="F18" s="29" t="s">
        <v>264</v>
      </c>
      <c r="G18" s="29" t="s">
        <v>269</v>
      </c>
      <c r="H18" s="29" t="s">
        <v>270</v>
      </c>
      <c r="I18" s="29" t="s">
        <v>169</v>
      </c>
      <c r="J18" s="34" t="n">
        <v>46315</v>
      </c>
    </row>
    <row r="19" customFormat="false" ht="23.85" hidden="false" customHeight="false" outlineLevel="0" collapsed="false">
      <c r="A19" s="29" t="s">
        <v>271</v>
      </c>
      <c r="B19" s="29" t="s">
        <v>172</v>
      </c>
      <c r="C19" s="29" t="s">
        <v>177</v>
      </c>
      <c r="D19" s="29" t="s">
        <v>178</v>
      </c>
      <c r="E19" s="29" t="s">
        <v>272</v>
      </c>
      <c r="F19" s="29" t="s">
        <v>273</v>
      </c>
      <c r="G19" s="29" t="s">
        <v>274</v>
      </c>
      <c r="H19" s="29" t="s">
        <v>275</v>
      </c>
      <c r="I19" s="29" t="s">
        <v>168</v>
      </c>
      <c r="J19" s="34"/>
    </row>
    <row r="20" customFormat="false" ht="23.85" hidden="false" customHeight="false" outlineLevel="0" collapsed="false">
      <c r="A20" s="29" t="s">
        <v>276</v>
      </c>
      <c r="B20" s="29" t="s">
        <v>172</v>
      </c>
      <c r="C20" s="29" t="s">
        <v>179</v>
      </c>
      <c r="D20" s="29" t="s">
        <v>180</v>
      </c>
      <c r="E20" s="29" t="s">
        <v>277</v>
      </c>
      <c r="F20" s="29" t="s">
        <v>278</v>
      </c>
      <c r="G20" s="29" t="s">
        <v>279</v>
      </c>
      <c r="H20" s="29" t="s">
        <v>280</v>
      </c>
      <c r="I20" s="29" t="s">
        <v>168</v>
      </c>
      <c r="J20" s="34" t="n">
        <v>46321</v>
      </c>
    </row>
    <row r="21" customFormat="false" ht="23.85" hidden="false" customHeight="false" outlineLevel="0" collapsed="false">
      <c r="A21" s="29" t="s">
        <v>281</v>
      </c>
      <c r="B21" s="29" t="s">
        <v>172</v>
      </c>
      <c r="C21" s="29" t="s">
        <v>179</v>
      </c>
      <c r="D21" s="29" t="s">
        <v>180</v>
      </c>
      <c r="E21" s="29" t="s">
        <v>282</v>
      </c>
      <c r="F21" s="29" t="s">
        <v>283</v>
      </c>
      <c r="G21" s="29" t="s">
        <v>284</v>
      </c>
      <c r="H21" s="29" t="s">
        <v>285</v>
      </c>
      <c r="I21" s="29" t="s">
        <v>168</v>
      </c>
      <c r="J21" s="34" t="n">
        <v>46323</v>
      </c>
    </row>
    <row r="22" customFormat="false" ht="23.85" hidden="false" customHeight="false" outlineLevel="0" collapsed="false">
      <c r="A22" s="29" t="s">
        <v>286</v>
      </c>
      <c r="B22" s="29" t="s">
        <v>172</v>
      </c>
      <c r="C22" s="29" t="s">
        <v>179</v>
      </c>
      <c r="D22" s="29" t="s">
        <v>180</v>
      </c>
      <c r="E22" s="29" t="s">
        <v>287</v>
      </c>
      <c r="F22" s="29" t="s">
        <v>288</v>
      </c>
      <c r="G22" s="29" t="s">
        <v>289</v>
      </c>
      <c r="H22" s="29" t="s">
        <v>290</v>
      </c>
      <c r="I22" s="29" t="s">
        <v>168</v>
      </c>
      <c r="J22" s="34" t="n">
        <v>46330</v>
      </c>
    </row>
    <row r="23" customFormat="false" ht="23.85" hidden="false" customHeight="false" outlineLevel="0" collapsed="false">
      <c r="A23" s="29" t="s">
        <v>291</v>
      </c>
      <c r="B23" s="29" t="s">
        <v>172</v>
      </c>
      <c r="C23" s="29" t="s">
        <v>179</v>
      </c>
      <c r="D23" s="29" t="s">
        <v>180</v>
      </c>
      <c r="E23" s="29" t="s">
        <v>292</v>
      </c>
      <c r="F23" s="29" t="s">
        <v>293</v>
      </c>
      <c r="G23" s="29" t="s">
        <v>294</v>
      </c>
      <c r="H23" s="29" t="s">
        <v>295</v>
      </c>
      <c r="I23" s="29" t="s">
        <v>168</v>
      </c>
      <c r="J23" s="34" t="n">
        <v>46316</v>
      </c>
    </row>
    <row r="24" customFormat="false" ht="23.85" hidden="false" customHeight="false" outlineLevel="0" collapsed="false">
      <c r="A24" s="29" t="s">
        <v>296</v>
      </c>
      <c r="B24" s="29" t="s">
        <v>172</v>
      </c>
      <c r="C24" s="29" t="s">
        <v>179</v>
      </c>
      <c r="D24" s="29" t="s">
        <v>180</v>
      </c>
      <c r="E24" s="29" t="s">
        <v>297</v>
      </c>
      <c r="F24" s="29" t="s">
        <v>298</v>
      </c>
      <c r="G24" s="29" t="s">
        <v>299</v>
      </c>
      <c r="H24" s="29" t="s">
        <v>300</v>
      </c>
      <c r="I24" s="29" t="s">
        <v>168</v>
      </c>
      <c r="J24" s="34"/>
    </row>
    <row r="25" customFormat="false" ht="23.85" hidden="false" customHeight="false" outlineLevel="0" collapsed="false">
      <c r="A25" s="29" t="s">
        <v>301</v>
      </c>
      <c r="B25" s="29" t="s">
        <v>181</v>
      </c>
      <c r="C25" s="29" t="s">
        <v>182</v>
      </c>
      <c r="D25" s="29" t="s">
        <v>183</v>
      </c>
      <c r="E25" s="29" t="s">
        <v>302</v>
      </c>
      <c r="F25" s="29" t="s">
        <v>254</v>
      </c>
      <c r="G25" s="29" t="s">
        <v>303</v>
      </c>
      <c r="H25" s="29" t="s">
        <v>304</v>
      </c>
      <c r="I25" s="29" t="s">
        <v>168</v>
      </c>
      <c r="J25" s="34" t="n">
        <v>46307</v>
      </c>
    </row>
    <row r="26" customFormat="false" ht="23.85" hidden="false" customHeight="false" outlineLevel="0" collapsed="false">
      <c r="A26" s="29" t="s">
        <v>305</v>
      </c>
      <c r="B26" s="29" t="s">
        <v>181</v>
      </c>
      <c r="C26" s="29" t="s">
        <v>182</v>
      </c>
      <c r="D26" s="29" t="s">
        <v>183</v>
      </c>
      <c r="E26" s="29" t="s">
        <v>306</v>
      </c>
      <c r="F26" s="29" t="s">
        <v>254</v>
      </c>
      <c r="G26" s="29" t="s">
        <v>307</v>
      </c>
      <c r="H26" s="29" t="s">
        <v>308</v>
      </c>
      <c r="I26" s="29" t="s">
        <v>11</v>
      </c>
      <c r="J26" s="34"/>
    </row>
    <row r="27" customFormat="false" ht="23.85" hidden="false" customHeight="false" outlineLevel="0" collapsed="false">
      <c r="A27" s="29" t="s">
        <v>309</v>
      </c>
      <c r="B27" s="29" t="s">
        <v>181</v>
      </c>
      <c r="C27" s="29" t="s">
        <v>182</v>
      </c>
      <c r="D27" s="29" t="s">
        <v>183</v>
      </c>
      <c r="E27" s="29" t="s">
        <v>310</v>
      </c>
      <c r="F27" s="29" t="s">
        <v>226</v>
      </c>
      <c r="G27" s="29" t="s">
        <v>311</v>
      </c>
      <c r="H27" s="29" t="s">
        <v>312</v>
      </c>
      <c r="I27" s="29" t="s">
        <v>168</v>
      </c>
      <c r="J27" s="34" t="n">
        <v>46309</v>
      </c>
    </row>
    <row r="28" customFormat="false" ht="23.85" hidden="false" customHeight="false" outlineLevel="0" collapsed="false">
      <c r="A28" s="29" t="s">
        <v>313</v>
      </c>
      <c r="B28" s="29" t="s">
        <v>181</v>
      </c>
      <c r="C28" s="29" t="s">
        <v>182</v>
      </c>
      <c r="D28" s="29" t="s">
        <v>183</v>
      </c>
      <c r="E28" s="29" t="s">
        <v>314</v>
      </c>
      <c r="F28" s="29" t="s">
        <v>315</v>
      </c>
      <c r="G28" s="29" t="s">
        <v>316</v>
      </c>
      <c r="H28" s="29" t="s">
        <v>317</v>
      </c>
      <c r="I28" s="29" t="s">
        <v>168</v>
      </c>
      <c r="J28" s="34"/>
    </row>
    <row r="29" customFormat="false" ht="15" hidden="false" customHeight="false" outlineLevel="0" collapsed="false">
      <c r="A29" s="29" t="s">
        <v>318</v>
      </c>
      <c r="B29" s="29" t="s">
        <v>181</v>
      </c>
      <c r="C29" s="29" t="s">
        <v>182</v>
      </c>
      <c r="D29" s="29" t="s">
        <v>183</v>
      </c>
      <c r="E29" s="29" t="s">
        <v>319</v>
      </c>
      <c r="F29" s="29" t="s">
        <v>320</v>
      </c>
      <c r="G29" s="29" t="s">
        <v>233</v>
      </c>
      <c r="H29" s="29" t="s">
        <v>321</v>
      </c>
      <c r="I29" s="29" t="s">
        <v>169</v>
      </c>
      <c r="J29" s="34" t="n">
        <v>46324</v>
      </c>
    </row>
    <row r="30" customFormat="false" ht="23.85" hidden="false" customHeight="false" outlineLevel="0" collapsed="false">
      <c r="A30" s="29" t="s">
        <v>322</v>
      </c>
      <c r="B30" s="29" t="s">
        <v>181</v>
      </c>
      <c r="C30" s="29" t="s">
        <v>182</v>
      </c>
      <c r="D30" s="29" t="s">
        <v>183</v>
      </c>
      <c r="E30" s="29" t="s">
        <v>323</v>
      </c>
      <c r="F30" s="29" t="s">
        <v>264</v>
      </c>
      <c r="G30" s="29" t="s">
        <v>324</v>
      </c>
      <c r="H30" s="29" t="s">
        <v>325</v>
      </c>
      <c r="I30" s="29" t="s">
        <v>168</v>
      </c>
      <c r="J30" s="34" t="n">
        <v>46314</v>
      </c>
    </row>
    <row r="31" customFormat="false" ht="23.85" hidden="false" customHeight="false" outlineLevel="0" collapsed="false">
      <c r="A31" s="29" t="s">
        <v>326</v>
      </c>
      <c r="B31" s="29" t="s">
        <v>181</v>
      </c>
      <c r="C31" s="29" t="s">
        <v>184</v>
      </c>
      <c r="D31" s="29" t="s">
        <v>185</v>
      </c>
      <c r="E31" s="29" t="s">
        <v>327</v>
      </c>
      <c r="F31" s="29" t="s">
        <v>328</v>
      </c>
      <c r="G31" s="29" t="s">
        <v>329</v>
      </c>
      <c r="H31" s="29" t="s">
        <v>330</v>
      </c>
      <c r="I31" s="29" t="s">
        <v>168</v>
      </c>
      <c r="J31" s="34" t="n">
        <v>46314</v>
      </c>
    </row>
    <row r="32" customFormat="false" ht="23.85" hidden="false" customHeight="false" outlineLevel="0" collapsed="false">
      <c r="A32" s="29" t="s">
        <v>331</v>
      </c>
      <c r="B32" s="29" t="s">
        <v>181</v>
      </c>
      <c r="C32" s="29" t="s">
        <v>184</v>
      </c>
      <c r="D32" s="29" t="s">
        <v>185</v>
      </c>
      <c r="E32" s="29" t="s">
        <v>332</v>
      </c>
      <c r="F32" s="29" t="s">
        <v>333</v>
      </c>
      <c r="G32" s="29" t="s">
        <v>334</v>
      </c>
      <c r="H32" s="29" t="s">
        <v>335</v>
      </c>
      <c r="I32" s="29" t="s">
        <v>168</v>
      </c>
      <c r="J32" s="34" t="n">
        <v>46321</v>
      </c>
    </row>
    <row r="33" customFormat="false" ht="35.05" hidden="false" customHeight="false" outlineLevel="0" collapsed="false">
      <c r="A33" s="29" t="s">
        <v>336</v>
      </c>
      <c r="B33" s="29" t="s">
        <v>181</v>
      </c>
      <c r="C33" s="29" t="s">
        <v>184</v>
      </c>
      <c r="D33" s="29" t="s">
        <v>185</v>
      </c>
      <c r="E33" s="29" t="s">
        <v>337</v>
      </c>
      <c r="F33" s="29" t="s">
        <v>315</v>
      </c>
      <c r="G33" s="29" t="s">
        <v>338</v>
      </c>
      <c r="H33" s="29" t="s">
        <v>339</v>
      </c>
      <c r="I33" s="29" t="s">
        <v>168</v>
      </c>
      <c r="J33" s="34" t="n">
        <v>46321</v>
      </c>
    </row>
    <row r="34" customFormat="false" ht="23.85" hidden="false" customHeight="false" outlineLevel="0" collapsed="false">
      <c r="A34" s="29" t="s">
        <v>340</v>
      </c>
      <c r="B34" s="29" t="s">
        <v>181</v>
      </c>
      <c r="C34" s="29" t="s">
        <v>184</v>
      </c>
      <c r="D34" s="29" t="s">
        <v>185</v>
      </c>
      <c r="E34" s="29" t="s">
        <v>341</v>
      </c>
      <c r="F34" s="29" t="s">
        <v>342</v>
      </c>
      <c r="G34" s="29" t="s">
        <v>343</v>
      </c>
      <c r="H34" s="29" t="s">
        <v>233</v>
      </c>
      <c r="I34" s="29" t="s">
        <v>11</v>
      </c>
      <c r="J34" s="34"/>
    </row>
    <row r="35" customFormat="false" ht="23.85" hidden="false" customHeight="false" outlineLevel="0" collapsed="false">
      <c r="A35" s="29" t="s">
        <v>344</v>
      </c>
      <c r="B35" s="29" t="s">
        <v>181</v>
      </c>
      <c r="C35" s="29" t="s">
        <v>186</v>
      </c>
      <c r="D35" s="29" t="s">
        <v>187</v>
      </c>
      <c r="E35" s="29" t="s">
        <v>345</v>
      </c>
      <c r="F35" s="29" t="s">
        <v>226</v>
      </c>
      <c r="G35" s="29" t="s">
        <v>346</v>
      </c>
      <c r="H35" s="29" t="s">
        <v>347</v>
      </c>
      <c r="I35" s="29" t="s">
        <v>168</v>
      </c>
      <c r="J35" s="34" t="n">
        <v>46307</v>
      </c>
    </row>
    <row r="36" customFormat="false" ht="23.85" hidden="false" customHeight="false" outlineLevel="0" collapsed="false">
      <c r="A36" s="29" t="s">
        <v>348</v>
      </c>
      <c r="B36" s="29" t="s">
        <v>181</v>
      </c>
      <c r="C36" s="29" t="s">
        <v>186</v>
      </c>
      <c r="D36" s="29" t="s">
        <v>187</v>
      </c>
      <c r="E36" s="29" t="s">
        <v>349</v>
      </c>
      <c r="F36" s="29" t="s">
        <v>315</v>
      </c>
      <c r="G36" s="29" t="s">
        <v>350</v>
      </c>
      <c r="H36" s="29" t="s">
        <v>351</v>
      </c>
      <c r="I36" s="29" t="s">
        <v>168</v>
      </c>
      <c r="J36" s="34" t="n">
        <v>46322</v>
      </c>
    </row>
    <row r="37" customFormat="false" ht="23.85" hidden="false" customHeight="false" outlineLevel="0" collapsed="false">
      <c r="A37" s="29" t="s">
        <v>352</v>
      </c>
      <c r="B37" s="29" t="s">
        <v>181</v>
      </c>
      <c r="C37" s="29" t="s">
        <v>186</v>
      </c>
      <c r="D37" s="29" t="s">
        <v>187</v>
      </c>
      <c r="E37" s="29" t="s">
        <v>353</v>
      </c>
      <c r="F37" s="29" t="s">
        <v>245</v>
      </c>
      <c r="G37" s="29" t="s">
        <v>354</v>
      </c>
      <c r="H37" s="29" t="s">
        <v>355</v>
      </c>
      <c r="I37" s="29" t="s">
        <v>168</v>
      </c>
      <c r="J37" s="34" t="n">
        <v>46307</v>
      </c>
    </row>
    <row r="38" customFormat="false" ht="23.85" hidden="false" customHeight="false" outlineLevel="0" collapsed="false">
      <c r="A38" s="29" t="s">
        <v>356</v>
      </c>
      <c r="B38" s="29" t="s">
        <v>181</v>
      </c>
      <c r="C38" s="29" t="s">
        <v>188</v>
      </c>
      <c r="D38" s="29" t="s">
        <v>189</v>
      </c>
      <c r="E38" s="29" t="s">
        <v>357</v>
      </c>
      <c r="F38" s="29" t="s">
        <v>315</v>
      </c>
      <c r="G38" s="29" t="s">
        <v>233</v>
      </c>
      <c r="H38" s="29" t="s">
        <v>358</v>
      </c>
      <c r="I38" s="29" t="s">
        <v>169</v>
      </c>
      <c r="J38" s="34" t="n">
        <v>46322</v>
      </c>
    </row>
    <row r="39" customFormat="false" ht="23.85" hidden="false" customHeight="false" outlineLevel="0" collapsed="false">
      <c r="A39" s="29" t="s">
        <v>359</v>
      </c>
      <c r="B39" s="29" t="s">
        <v>181</v>
      </c>
      <c r="C39" s="29" t="s">
        <v>188</v>
      </c>
      <c r="D39" s="29" t="s">
        <v>189</v>
      </c>
      <c r="E39" s="29" t="s">
        <v>360</v>
      </c>
      <c r="F39" s="29" t="s">
        <v>320</v>
      </c>
      <c r="G39" s="29" t="s">
        <v>233</v>
      </c>
      <c r="H39" s="29" t="s">
        <v>361</v>
      </c>
      <c r="I39" s="29" t="s">
        <v>169</v>
      </c>
      <c r="J39" s="34" t="n">
        <v>46324</v>
      </c>
    </row>
    <row r="40" customFormat="false" ht="15" hidden="false" customHeight="false" outlineLevel="0" collapsed="false">
      <c r="A40" s="29" t="s">
        <v>362</v>
      </c>
      <c r="B40" s="29" t="s">
        <v>181</v>
      </c>
      <c r="C40" s="29" t="s">
        <v>188</v>
      </c>
      <c r="D40" s="29" t="s">
        <v>189</v>
      </c>
      <c r="E40" s="29" t="s">
        <v>363</v>
      </c>
      <c r="F40" s="29" t="s">
        <v>320</v>
      </c>
      <c r="G40" s="29" t="s">
        <v>233</v>
      </c>
      <c r="H40" s="29" t="s">
        <v>364</v>
      </c>
      <c r="I40" s="29" t="s">
        <v>169</v>
      </c>
      <c r="J40" s="34" t="n">
        <v>46324</v>
      </c>
    </row>
    <row r="41" customFormat="false" ht="23.85" hidden="false" customHeight="false" outlineLevel="0" collapsed="false">
      <c r="A41" s="29" t="s">
        <v>365</v>
      </c>
      <c r="B41" s="29" t="s">
        <v>181</v>
      </c>
      <c r="C41" s="29" t="s">
        <v>188</v>
      </c>
      <c r="D41" s="29" t="s">
        <v>189</v>
      </c>
      <c r="E41" s="29" t="s">
        <v>366</v>
      </c>
      <c r="F41" s="29" t="s">
        <v>315</v>
      </c>
      <c r="G41" s="29" t="s">
        <v>367</v>
      </c>
      <c r="H41" s="29" t="s">
        <v>368</v>
      </c>
      <c r="I41" s="29" t="s">
        <v>168</v>
      </c>
      <c r="J41" s="34" t="n">
        <v>46322</v>
      </c>
    </row>
    <row r="42" customFormat="false" ht="23.85" hidden="false" customHeight="false" outlineLevel="0" collapsed="false">
      <c r="A42" s="29" t="s">
        <v>369</v>
      </c>
      <c r="B42" s="29" t="s">
        <v>181</v>
      </c>
      <c r="C42" s="29" t="s">
        <v>188</v>
      </c>
      <c r="D42" s="29" t="s">
        <v>189</v>
      </c>
      <c r="E42" s="29" t="s">
        <v>370</v>
      </c>
      <c r="F42" s="29" t="s">
        <v>315</v>
      </c>
      <c r="G42" s="29" t="s">
        <v>371</v>
      </c>
      <c r="H42" s="29" t="s">
        <v>372</v>
      </c>
      <c r="I42" s="29" t="s">
        <v>168</v>
      </c>
      <c r="J42" s="34" t="n">
        <v>46321</v>
      </c>
    </row>
    <row r="43" customFormat="false" ht="23.85" hidden="false" customHeight="false" outlineLevel="0" collapsed="false">
      <c r="A43" s="29" t="s">
        <v>373</v>
      </c>
      <c r="B43" s="29" t="s">
        <v>181</v>
      </c>
      <c r="C43" s="29" t="s">
        <v>190</v>
      </c>
      <c r="D43" s="29" t="s">
        <v>191</v>
      </c>
      <c r="E43" s="29" t="s">
        <v>374</v>
      </c>
      <c r="F43" s="29" t="s">
        <v>288</v>
      </c>
      <c r="G43" s="29" t="s">
        <v>375</v>
      </c>
      <c r="H43" s="29" t="s">
        <v>376</v>
      </c>
      <c r="I43" s="29" t="s">
        <v>168</v>
      </c>
      <c r="J43" s="34" t="n">
        <v>46328</v>
      </c>
    </row>
    <row r="44" customFormat="false" ht="23.85" hidden="false" customHeight="false" outlineLevel="0" collapsed="false">
      <c r="A44" s="29" t="s">
        <v>377</v>
      </c>
      <c r="B44" s="29" t="s">
        <v>181</v>
      </c>
      <c r="C44" s="29" t="s">
        <v>190</v>
      </c>
      <c r="D44" s="29" t="s">
        <v>191</v>
      </c>
      <c r="E44" s="29" t="s">
        <v>378</v>
      </c>
      <c r="F44" s="29" t="s">
        <v>379</v>
      </c>
      <c r="G44" s="29" t="s">
        <v>380</v>
      </c>
      <c r="H44" s="29" t="s">
        <v>233</v>
      </c>
      <c r="I44" s="29" t="s">
        <v>11</v>
      </c>
      <c r="J44" s="34"/>
    </row>
    <row r="45" customFormat="false" ht="23.85" hidden="false" customHeight="false" outlineLevel="0" collapsed="false">
      <c r="A45" s="29" t="s">
        <v>381</v>
      </c>
      <c r="B45" s="29" t="s">
        <v>181</v>
      </c>
      <c r="C45" s="29" t="s">
        <v>190</v>
      </c>
      <c r="D45" s="29" t="s">
        <v>191</v>
      </c>
      <c r="E45" s="29" t="s">
        <v>382</v>
      </c>
      <c r="F45" s="29" t="s">
        <v>333</v>
      </c>
      <c r="G45" s="29" t="s">
        <v>383</v>
      </c>
      <c r="H45" s="29" t="s">
        <v>233</v>
      </c>
      <c r="I45" s="29" t="s">
        <v>11</v>
      </c>
      <c r="J45" s="34"/>
    </row>
    <row r="46" customFormat="false" ht="23.85" hidden="false" customHeight="false" outlineLevel="0" collapsed="false">
      <c r="A46" s="29" t="s">
        <v>384</v>
      </c>
      <c r="B46" s="29" t="s">
        <v>181</v>
      </c>
      <c r="C46" s="29" t="s">
        <v>190</v>
      </c>
      <c r="D46" s="29" t="s">
        <v>191</v>
      </c>
      <c r="E46" s="29" t="s">
        <v>385</v>
      </c>
      <c r="F46" s="29" t="s">
        <v>288</v>
      </c>
      <c r="G46" s="29" t="s">
        <v>386</v>
      </c>
      <c r="H46" s="29" t="s">
        <v>387</v>
      </c>
      <c r="I46" s="29" t="s">
        <v>168</v>
      </c>
      <c r="J46" s="34" t="n">
        <v>46328</v>
      </c>
    </row>
    <row r="47" customFormat="false" ht="23.85" hidden="false" customHeight="false" outlineLevel="0" collapsed="false">
      <c r="A47" s="29" t="s">
        <v>388</v>
      </c>
      <c r="B47" s="29" t="s">
        <v>181</v>
      </c>
      <c r="C47" s="29" t="s">
        <v>192</v>
      </c>
      <c r="D47" s="29" t="s">
        <v>193</v>
      </c>
      <c r="E47" s="29" t="s">
        <v>389</v>
      </c>
      <c r="F47" s="29" t="s">
        <v>288</v>
      </c>
      <c r="G47" s="29" t="s">
        <v>390</v>
      </c>
      <c r="H47" s="29" t="s">
        <v>391</v>
      </c>
      <c r="I47" s="29" t="s">
        <v>168</v>
      </c>
      <c r="J47" s="34" t="n">
        <v>46328</v>
      </c>
    </row>
    <row r="48" customFormat="false" ht="23.85" hidden="false" customHeight="false" outlineLevel="0" collapsed="false">
      <c r="A48" s="29" t="s">
        <v>392</v>
      </c>
      <c r="B48" s="29" t="s">
        <v>181</v>
      </c>
      <c r="C48" s="29" t="s">
        <v>192</v>
      </c>
      <c r="D48" s="29" t="s">
        <v>193</v>
      </c>
      <c r="E48" s="29" t="s">
        <v>393</v>
      </c>
      <c r="F48" s="29" t="s">
        <v>333</v>
      </c>
      <c r="G48" s="29" t="s">
        <v>394</v>
      </c>
      <c r="H48" s="29" t="s">
        <v>233</v>
      </c>
      <c r="I48" s="29" t="s">
        <v>11</v>
      </c>
      <c r="J48" s="34"/>
    </row>
    <row r="49" customFormat="false" ht="15" hidden="false" customHeight="false" outlineLevel="0" collapsed="false">
      <c r="A49" s="29" t="s">
        <v>395</v>
      </c>
      <c r="B49" s="29" t="s">
        <v>181</v>
      </c>
      <c r="C49" s="29" t="s">
        <v>192</v>
      </c>
      <c r="D49" s="29" t="s">
        <v>193</v>
      </c>
      <c r="E49" s="29" t="s">
        <v>396</v>
      </c>
      <c r="F49" s="29" t="s">
        <v>288</v>
      </c>
      <c r="G49" s="29" t="s">
        <v>397</v>
      </c>
      <c r="H49" s="29" t="s">
        <v>398</v>
      </c>
      <c r="I49" s="29" t="s">
        <v>169</v>
      </c>
      <c r="J49" s="34" t="n">
        <v>46328</v>
      </c>
    </row>
    <row r="50" customFormat="false" ht="23.85" hidden="false" customHeight="false" outlineLevel="0" collapsed="false">
      <c r="A50" s="29" t="s">
        <v>399</v>
      </c>
      <c r="B50" s="29" t="s">
        <v>181</v>
      </c>
      <c r="C50" s="29" t="s">
        <v>192</v>
      </c>
      <c r="D50" s="29" t="s">
        <v>193</v>
      </c>
      <c r="E50" s="29" t="s">
        <v>400</v>
      </c>
      <c r="F50" s="29" t="s">
        <v>333</v>
      </c>
      <c r="G50" s="29" t="s">
        <v>401</v>
      </c>
      <c r="H50" s="29" t="s">
        <v>233</v>
      </c>
      <c r="I50" s="29" t="s">
        <v>11</v>
      </c>
      <c r="J50" s="34"/>
    </row>
  </sheetData>
  <autoFilter ref="A4:J50"/>
  <conditionalFormatting sqref="I5:I50">
    <cfRule type="cellIs" priority="2" operator="equal" aboveAverage="0" equalAverage="0" bottom="0" percent="0" rank="0" text="" dxfId="6">
      <formula>"Done"</formula>
    </cfRule>
    <cfRule type="cellIs" priority="3" operator="equal" aboveAverage="0" equalAverage="0" bottom="0" percent="0" rank="0" text="" dxfId="7">
      <formula>"Partial"</formula>
    </cfRule>
    <cfRule type="cellIs" priority="4" operator="equal" aboveAverage="0" equalAverage="0" bottom="0" percent="0" rank="0" text="" dxfId="8">
      <formula>"Not started"</formula>
    </cfRule>
  </conditionalFormatting>
  <dataValidations count="1">
    <dataValidation allowBlank="false" errorStyle="stop" operator="between" showDropDown="false" showErrorMessage="false" showInputMessage="false" sqref="I5:I50" type="list">
      <formula1>"Done,Partial,Not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70"/>
    <col collapsed="false" customWidth="true" hidden="false" outlineLevel="0" max="4" min="4" style="0" width="14"/>
    <col collapsed="false" customWidth="true" hidden="false" outlineLevel="0" max="6" min="5" style="0" width="12"/>
    <col collapsed="false" customWidth="true" hidden="false" outlineLevel="0" max="7" min="7" style="0" width="16"/>
    <col collapsed="false" customWidth="true" hidden="false" outlineLevel="0" max="8" min="8" style="0" width="60"/>
  </cols>
  <sheetData>
    <row r="1" customFormat="false" ht="17.35" hidden="false" customHeight="false" outlineLevel="0" collapsed="false">
      <c r="A1" s="23" t="s">
        <v>402</v>
      </c>
    </row>
    <row r="2" customFormat="false" ht="15" hidden="false" customHeight="false" outlineLevel="0" collapsed="false">
      <c r="A2" s="24" t="s">
        <v>403</v>
      </c>
    </row>
    <row r="4" customFormat="false" ht="15" hidden="false" customHeight="false" outlineLevel="0" collapsed="false">
      <c r="A4" s="28" t="s">
        <v>404</v>
      </c>
      <c r="B4" s="28" t="s">
        <v>405</v>
      </c>
      <c r="C4" s="28" t="s">
        <v>406</v>
      </c>
      <c r="D4" s="28" t="s">
        <v>4</v>
      </c>
      <c r="E4" s="28" t="s">
        <v>5</v>
      </c>
      <c r="F4" s="28" t="s">
        <v>6</v>
      </c>
      <c r="G4" s="28" t="s">
        <v>407</v>
      </c>
      <c r="H4" s="28" t="s">
        <v>408</v>
      </c>
    </row>
    <row r="5" customFormat="false" ht="23.85" hidden="false" customHeight="false" outlineLevel="0" collapsed="false">
      <c r="A5" s="29" t="s">
        <v>116</v>
      </c>
      <c r="B5" s="34" t="n">
        <v>46307</v>
      </c>
      <c r="C5" s="29" t="s">
        <v>409</v>
      </c>
      <c r="D5" s="29" t="s">
        <v>10</v>
      </c>
      <c r="E5" s="29"/>
      <c r="F5" s="34" t="n">
        <v>46307</v>
      </c>
      <c r="G5" s="29" t="s">
        <v>301</v>
      </c>
      <c r="H5" s="29" t="s">
        <v>410</v>
      </c>
    </row>
    <row r="6" customFormat="false" ht="23.85" hidden="false" customHeight="false" outlineLevel="0" collapsed="false">
      <c r="A6" s="29" t="s">
        <v>116</v>
      </c>
      <c r="B6" s="34" t="n">
        <v>46307</v>
      </c>
      <c r="C6" s="29" t="s">
        <v>411</v>
      </c>
      <c r="D6" s="29" t="s">
        <v>10</v>
      </c>
      <c r="E6" s="29"/>
      <c r="F6" s="34" t="n">
        <v>46307</v>
      </c>
      <c r="G6" s="29" t="s">
        <v>412</v>
      </c>
      <c r="H6" s="29" t="s">
        <v>413</v>
      </c>
    </row>
    <row r="7" customFormat="false" ht="23.85" hidden="false" customHeight="false" outlineLevel="0" collapsed="false">
      <c r="A7" s="29" t="s">
        <v>118</v>
      </c>
      <c r="B7" s="34" t="n">
        <v>46308</v>
      </c>
      <c r="C7" s="29" t="s">
        <v>414</v>
      </c>
      <c r="D7" s="29" t="s">
        <v>10</v>
      </c>
      <c r="E7" s="29"/>
      <c r="F7" s="34" t="n">
        <v>46308</v>
      </c>
      <c r="G7" s="29" t="s">
        <v>219</v>
      </c>
      <c r="H7" s="29" t="s">
        <v>415</v>
      </c>
    </row>
    <row r="8" customFormat="false" ht="23.85" hidden="false" customHeight="false" outlineLevel="0" collapsed="false">
      <c r="A8" s="29" t="s">
        <v>120</v>
      </c>
      <c r="B8" s="34" t="n">
        <v>46309</v>
      </c>
      <c r="C8" s="29" t="s">
        <v>416</v>
      </c>
      <c r="D8" s="29" t="s">
        <v>10</v>
      </c>
      <c r="E8" s="29"/>
      <c r="F8" s="34" t="n">
        <v>46309</v>
      </c>
      <c r="G8" s="29" t="s">
        <v>417</v>
      </c>
      <c r="H8" s="29" t="s">
        <v>418</v>
      </c>
    </row>
    <row r="9" customFormat="false" ht="23.85" hidden="false" customHeight="false" outlineLevel="0" collapsed="false">
      <c r="A9" s="29" t="s">
        <v>122</v>
      </c>
      <c r="B9" s="34" t="n">
        <v>46310</v>
      </c>
      <c r="C9" s="29" t="s">
        <v>419</v>
      </c>
      <c r="D9" s="29" t="s">
        <v>10</v>
      </c>
      <c r="E9" s="29"/>
      <c r="F9" s="34" t="n">
        <v>46310</v>
      </c>
      <c r="G9" s="29" t="s">
        <v>420</v>
      </c>
      <c r="H9" s="29" t="s">
        <v>421</v>
      </c>
    </row>
    <row r="10" customFormat="false" ht="23.85" hidden="false" customHeight="false" outlineLevel="0" collapsed="false">
      <c r="A10" s="29" t="s">
        <v>127</v>
      </c>
      <c r="B10" s="34" t="n">
        <v>46314</v>
      </c>
      <c r="C10" s="29" t="s">
        <v>422</v>
      </c>
      <c r="D10" s="29" t="s">
        <v>10</v>
      </c>
      <c r="E10" s="29"/>
      <c r="F10" s="34" t="n">
        <v>46314</v>
      </c>
      <c r="G10" s="29" t="s">
        <v>423</v>
      </c>
      <c r="H10" s="29" t="s">
        <v>424</v>
      </c>
    </row>
    <row r="11" customFormat="false" ht="23.85" hidden="false" customHeight="false" outlineLevel="0" collapsed="false">
      <c r="A11" s="29" t="s">
        <v>129</v>
      </c>
      <c r="B11" s="34" t="n">
        <v>46315</v>
      </c>
      <c r="C11" s="29" t="s">
        <v>425</v>
      </c>
      <c r="D11" s="29" t="s">
        <v>10</v>
      </c>
      <c r="E11" s="29"/>
      <c r="F11" s="34" t="n">
        <v>46315</v>
      </c>
      <c r="G11" s="29" t="s">
        <v>426</v>
      </c>
      <c r="H11" s="29" t="s">
        <v>427</v>
      </c>
    </row>
    <row r="12" customFormat="false" ht="15" hidden="false" customHeight="false" outlineLevel="0" collapsed="false">
      <c r="A12" s="29" t="s">
        <v>131</v>
      </c>
      <c r="B12" s="34" t="n">
        <v>46316</v>
      </c>
      <c r="C12" s="29" t="s">
        <v>428</v>
      </c>
      <c r="D12" s="29" t="s">
        <v>10</v>
      </c>
      <c r="E12" s="29"/>
      <c r="F12" s="34" t="n">
        <v>46316</v>
      </c>
      <c r="G12" s="29" t="s">
        <v>429</v>
      </c>
      <c r="H12" s="29" t="s">
        <v>430</v>
      </c>
    </row>
    <row r="13" customFormat="false" ht="23.85" hidden="false" customHeight="false" outlineLevel="0" collapsed="false">
      <c r="A13" s="29" t="s">
        <v>133</v>
      </c>
      <c r="B13" s="34" t="n">
        <v>46317</v>
      </c>
      <c r="C13" s="29" t="s">
        <v>431</v>
      </c>
      <c r="D13" s="29" t="s">
        <v>10</v>
      </c>
      <c r="E13" s="29"/>
      <c r="F13" s="34" t="n">
        <v>46317</v>
      </c>
      <c r="G13" s="29" t="s">
        <v>377</v>
      </c>
      <c r="H13" s="29" t="s">
        <v>432</v>
      </c>
    </row>
    <row r="14" customFormat="false" ht="23.85" hidden="false" customHeight="false" outlineLevel="0" collapsed="false">
      <c r="A14" s="29" t="s">
        <v>138</v>
      </c>
      <c r="B14" s="34" t="n">
        <v>46321</v>
      </c>
      <c r="C14" s="29" t="s">
        <v>433</v>
      </c>
      <c r="D14" s="29" t="s">
        <v>10</v>
      </c>
      <c r="E14" s="29"/>
      <c r="F14" s="34" t="n">
        <v>46321</v>
      </c>
      <c r="G14" s="29" t="s">
        <v>434</v>
      </c>
      <c r="H14" s="29" t="s">
        <v>435</v>
      </c>
    </row>
    <row r="15" customFormat="false" ht="23.85" hidden="false" customHeight="false" outlineLevel="0" collapsed="false">
      <c r="A15" s="29" t="s">
        <v>138</v>
      </c>
      <c r="B15" s="34" t="n">
        <v>46321</v>
      </c>
      <c r="C15" s="29" t="s">
        <v>436</v>
      </c>
      <c r="D15" s="29" t="s">
        <v>10</v>
      </c>
      <c r="E15" s="29"/>
      <c r="F15" s="34" t="n">
        <v>46321</v>
      </c>
      <c r="G15" s="29" t="s">
        <v>437</v>
      </c>
      <c r="H15" s="29" t="s">
        <v>438</v>
      </c>
    </row>
    <row r="16" customFormat="false" ht="23.85" hidden="false" customHeight="false" outlineLevel="0" collapsed="false">
      <c r="A16" s="29" t="s">
        <v>140</v>
      </c>
      <c r="B16" s="34" t="n">
        <v>46322</v>
      </c>
      <c r="C16" s="29" t="s">
        <v>439</v>
      </c>
      <c r="D16" s="29" t="s">
        <v>10</v>
      </c>
      <c r="E16" s="29"/>
      <c r="F16" s="34" t="n">
        <v>46322</v>
      </c>
      <c r="G16" s="29" t="s">
        <v>440</v>
      </c>
      <c r="H16" s="29" t="s">
        <v>441</v>
      </c>
    </row>
    <row r="17" customFormat="false" ht="23.85" hidden="false" customHeight="false" outlineLevel="0" collapsed="false">
      <c r="A17" s="29" t="s">
        <v>142</v>
      </c>
      <c r="B17" s="34" t="n">
        <v>46323</v>
      </c>
      <c r="C17" s="29" t="s">
        <v>442</v>
      </c>
      <c r="D17" s="29" t="s">
        <v>10</v>
      </c>
      <c r="E17" s="29"/>
      <c r="F17" s="34" t="n">
        <v>46323</v>
      </c>
      <c r="G17" s="29" t="s">
        <v>281</v>
      </c>
      <c r="H17" s="29" t="s">
        <v>443</v>
      </c>
    </row>
    <row r="18" customFormat="false" ht="15" hidden="false" customHeight="false" outlineLevel="0" collapsed="false">
      <c r="A18" s="29" t="s">
        <v>144</v>
      </c>
      <c r="B18" s="34" t="n">
        <v>46324</v>
      </c>
      <c r="C18" s="29" t="s">
        <v>444</v>
      </c>
      <c r="D18" s="29" t="s">
        <v>10</v>
      </c>
      <c r="E18" s="29"/>
      <c r="F18" s="34" t="n">
        <v>46324</v>
      </c>
      <c r="G18" s="29" t="s">
        <v>445</v>
      </c>
      <c r="H18" s="29" t="s">
        <v>446</v>
      </c>
    </row>
    <row r="19" customFormat="false" ht="23.85" hidden="false" customHeight="false" outlineLevel="0" collapsed="false">
      <c r="A19" s="29" t="s">
        <v>149</v>
      </c>
      <c r="B19" s="34" t="n">
        <v>46328</v>
      </c>
      <c r="C19" s="29" t="s">
        <v>447</v>
      </c>
      <c r="D19" s="29" t="s">
        <v>10</v>
      </c>
      <c r="E19" s="29"/>
      <c r="F19" s="34" t="n">
        <v>46328</v>
      </c>
      <c r="G19" s="29" t="s">
        <v>448</v>
      </c>
      <c r="H19" s="29" t="s">
        <v>449</v>
      </c>
    </row>
    <row r="20" customFormat="false" ht="15" hidden="false" customHeight="false" outlineLevel="0" collapsed="false">
      <c r="A20" s="29" t="s">
        <v>149</v>
      </c>
      <c r="B20" s="34" t="n">
        <v>46328</v>
      </c>
      <c r="C20" s="29" t="s">
        <v>450</v>
      </c>
      <c r="D20" s="29" t="s">
        <v>10</v>
      </c>
      <c r="E20" s="29"/>
      <c r="F20" s="34" t="n">
        <v>46328</v>
      </c>
      <c r="G20" s="29" t="s">
        <v>451</v>
      </c>
      <c r="H20" s="29" t="s">
        <v>452</v>
      </c>
    </row>
    <row r="21" customFormat="false" ht="15" hidden="false" customHeight="false" outlineLevel="0" collapsed="false">
      <c r="A21" s="29" t="s">
        <v>153</v>
      </c>
      <c r="B21" s="34" t="n">
        <v>46330</v>
      </c>
      <c r="C21" s="29" t="s">
        <v>287</v>
      </c>
      <c r="D21" s="29" t="s">
        <v>10</v>
      </c>
      <c r="E21" s="29"/>
      <c r="F21" s="34" t="n">
        <v>46330</v>
      </c>
      <c r="G21" s="29" t="s">
        <v>286</v>
      </c>
      <c r="H21" s="29" t="s">
        <v>453</v>
      </c>
    </row>
    <row r="22" customFormat="false" ht="15" hidden="false" customHeight="false" outlineLevel="0" collapsed="false">
      <c r="A22" s="29" t="s">
        <v>155</v>
      </c>
      <c r="B22" s="34" t="n">
        <v>46331</v>
      </c>
      <c r="C22" s="29" t="s">
        <v>454</v>
      </c>
      <c r="D22" s="29" t="s">
        <v>10</v>
      </c>
      <c r="E22" s="29"/>
      <c r="F22" s="34" t="n">
        <v>46331</v>
      </c>
      <c r="G22" s="29" t="s">
        <v>455</v>
      </c>
      <c r="H22" s="29" t="s">
        <v>456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 collapsed="false" customWidth="true" hidden="false" outlineLevel="0" max="2" min="2" style="0" width="51"/>
    <col collapsed="false" customWidth="true" hidden="false" outlineLevel="0" max="4" min="3" style="0" width="25"/>
    <col collapsed="false" customWidth="true" hidden="false" outlineLevel="0" max="5" min="5" style="0" width="24"/>
    <col collapsed="false" customWidth="true" hidden="false" outlineLevel="0" max="6" min="6" style="0" width="37"/>
    <col collapsed="false" customWidth="true" hidden="false" outlineLevel="0" max="7" min="7" style="0" width="150"/>
    <col collapsed="false" customWidth="true" hidden="false" outlineLevel="0" max="8" min="8" style="0" width="24"/>
    <col collapsed="false" customWidth="true" hidden="false" outlineLevel="0" max="9" min="9" style="0" width="28"/>
    <col collapsed="false" customWidth="true" hidden="false" outlineLevel="0" max="10" min="10" style="0" width="20"/>
    <col collapsed="false" customWidth="true" hidden="false" outlineLevel="0" max="11" min="11" style="0" width="29"/>
  </cols>
  <sheetData>
    <row r="1" customFormat="false" ht="19.5" hidden="false" customHeight="true" outlineLevel="0" collapsed="false">
      <c r="A1" s="1" t="s">
        <v>0</v>
      </c>
      <c r="B1" s="1" t="s">
        <v>457</v>
      </c>
    </row>
    <row r="2" customFormat="false" ht="19.5" hidden="false" customHeight="true" outlineLevel="0" collapsed="false">
      <c r="A2" s="3" t="s">
        <v>458</v>
      </c>
      <c r="B2" s="3" t="s">
        <v>459</v>
      </c>
      <c r="C2" s="3" t="s">
        <v>460</v>
      </c>
      <c r="D2" s="3" t="s">
        <v>460</v>
      </c>
      <c r="E2" s="3" t="s">
        <v>461</v>
      </c>
      <c r="F2" s="3" t="s">
        <v>462</v>
      </c>
      <c r="G2" s="3" t="s">
        <v>463</v>
      </c>
      <c r="H2" s="3" t="s">
        <v>464</v>
      </c>
      <c r="I2" s="3" t="s">
        <v>465</v>
      </c>
      <c r="J2" s="3" t="s">
        <v>466</v>
      </c>
      <c r="K2" s="3" t="s">
        <v>467</v>
      </c>
    </row>
    <row r="3" customFormat="false" ht="19.5" hidden="false" customHeight="true" outlineLevel="0" collapsed="false">
      <c r="A3" s="5" t="s">
        <v>44</v>
      </c>
      <c r="B3" s="5" t="s">
        <v>43</v>
      </c>
      <c r="C3" s="5" t="s">
        <v>468</v>
      </c>
      <c r="D3" s="5"/>
      <c r="E3" s="5" t="s">
        <v>10</v>
      </c>
      <c r="F3" s="5" t="s">
        <v>469</v>
      </c>
      <c r="G3" s="35" t="s">
        <v>470</v>
      </c>
      <c r="H3" s="5" t="n">
        <v>0</v>
      </c>
      <c r="I3" s="5"/>
      <c r="J3" s="5" t="s">
        <v>471</v>
      </c>
      <c r="K3" s="5"/>
    </row>
    <row r="4" customFormat="false" ht="19.5" hidden="false" customHeight="true" outlineLevel="0" collapsed="false">
      <c r="A4" s="5" t="s">
        <v>42</v>
      </c>
      <c r="B4" s="5" t="s">
        <v>41</v>
      </c>
      <c r="C4" s="5" t="s">
        <v>468</v>
      </c>
      <c r="D4" s="5"/>
      <c r="E4" s="5" t="s">
        <v>10</v>
      </c>
      <c r="F4" s="5" t="s">
        <v>472</v>
      </c>
      <c r="G4" s="35" t="s">
        <v>473</v>
      </c>
      <c r="H4" s="5" t="n">
        <v>0</v>
      </c>
      <c r="I4" s="5"/>
      <c r="J4" s="5" t="s">
        <v>474</v>
      </c>
      <c r="K4" s="5"/>
    </row>
    <row r="5" customFormat="false" ht="19.5" hidden="false" customHeight="true" outlineLevel="0" collapsed="false">
      <c r="A5" s="5" t="s">
        <v>48</v>
      </c>
      <c r="B5" s="5" t="s">
        <v>47</v>
      </c>
      <c r="C5" s="5" t="s">
        <v>468</v>
      </c>
      <c r="D5" s="5"/>
      <c r="E5" s="5" t="s">
        <v>10</v>
      </c>
      <c r="F5" s="5" t="s">
        <v>475</v>
      </c>
      <c r="G5" s="35" t="s">
        <v>476</v>
      </c>
      <c r="H5" s="5" t="n">
        <v>0</v>
      </c>
      <c r="I5" s="5"/>
      <c r="J5" s="5" t="s">
        <v>477</v>
      </c>
      <c r="K5" s="5"/>
    </row>
    <row r="6" customFormat="false" ht="19.5" hidden="false" customHeight="true" outlineLevel="0" collapsed="false">
      <c r="A6" s="5" t="s">
        <v>46</v>
      </c>
      <c r="B6" s="5" t="s">
        <v>45</v>
      </c>
      <c r="C6" s="5" t="s">
        <v>468</v>
      </c>
      <c r="D6" s="5"/>
      <c r="E6" s="5" t="s">
        <v>10</v>
      </c>
      <c r="F6" s="5" t="s">
        <v>478</v>
      </c>
      <c r="G6" s="35" t="s">
        <v>479</v>
      </c>
      <c r="H6" s="5" t="n">
        <v>0</v>
      </c>
      <c r="I6" s="5"/>
      <c r="J6" s="5" t="s">
        <v>480</v>
      </c>
      <c r="K6" s="5"/>
    </row>
    <row r="7" customFormat="false" ht="19.5" hidden="false" customHeight="true" outlineLevel="0" collapsed="false">
      <c r="A7" s="5" t="s">
        <v>53</v>
      </c>
      <c r="B7" s="5" t="s">
        <v>52</v>
      </c>
      <c r="C7" s="5" t="s">
        <v>468</v>
      </c>
      <c r="D7" s="5"/>
      <c r="E7" s="5" t="s">
        <v>10</v>
      </c>
      <c r="F7" s="5" t="s">
        <v>481</v>
      </c>
      <c r="G7" s="35" t="s">
        <v>482</v>
      </c>
      <c r="H7" s="5" t="n">
        <v>0</v>
      </c>
      <c r="I7" s="5"/>
      <c r="J7" s="5" t="s">
        <v>483</v>
      </c>
      <c r="K7" s="5"/>
    </row>
    <row r="8" customFormat="false" ht="19.5" hidden="false" customHeight="true" outlineLevel="0" collapsed="false">
      <c r="A8" s="5" t="s">
        <v>57</v>
      </c>
      <c r="B8" s="5" t="s">
        <v>56</v>
      </c>
      <c r="C8" s="5" t="s">
        <v>468</v>
      </c>
      <c r="D8" s="5"/>
      <c r="E8" s="5" t="s">
        <v>10</v>
      </c>
      <c r="F8" s="5" t="s">
        <v>484</v>
      </c>
      <c r="G8" s="35" t="s">
        <v>485</v>
      </c>
      <c r="H8" s="5" t="n">
        <v>0</v>
      </c>
      <c r="I8" s="5"/>
      <c r="J8" s="5" t="s">
        <v>486</v>
      </c>
      <c r="K8" s="5"/>
    </row>
    <row r="9" customFormat="false" ht="19.5" hidden="false" customHeight="true" outlineLevel="0" collapsed="false">
      <c r="A9" s="5" t="s">
        <v>59</v>
      </c>
      <c r="B9" s="5" t="s">
        <v>58</v>
      </c>
      <c r="C9" s="5" t="s">
        <v>468</v>
      </c>
      <c r="D9" s="5"/>
      <c r="E9" s="5" t="s">
        <v>10</v>
      </c>
      <c r="F9" s="5" t="s">
        <v>487</v>
      </c>
      <c r="G9" s="35" t="s">
        <v>488</v>
      </c>
      <c r="H9" s="5" t="n">
        <v>0</v>
      </c>
      <c r="I9" s="5"/>
      <c r="J9" s="5" t="s">
        <v>489</v>
      </c>
      <c r="K9" s="5"/>
    </row>
    <row r="10" customFormat="false" ht="19.5" hidden="false" customHeight="true" outlineLevel="0" collapsed="false">
      <c r="A10" s="5" t="s">
        <v>55</v>
      </c>
      <c r="B10" s="5" t="s">
        <v>54</v>
      </c>
      <c r="C10" s="5" t="s">
        <v>468</v>
      </c>
      <c r="D10" s="5"/>
      <c r="E10" s="5" t="s">
        <v>10</v>
      </c>
      <c r="F10" s="5" t="s">
        <v>490</v>
      </c>
      <c r="G10" s="35" t="s">
        <v>491</v>
      </c>
      <c r="H10" s="5" t="n">
        <v>0</v>
      </c>
      <c r="I10" s="5"/>
      <c r="J10" s="5" t="s">
        <v>492</v>
      </c>
      <c r="K10" s="5"/>
    </row>
    <row r="11" customFormat="false" ht="19.5" hidden="false" customHeight="true" outlineLevel="0" collapsed="false">
      <c r="A11" s="5" t="s">
        <v>13</v>
      </c>
      <c r="B11" s="5" t="s">
        <v>9</v>
      </c>
      <c r="C11" s="5" t="s">
        <v>468</v>
      </c>
      <c r="D11" s="5"/>
      <c r="E11" s="5" t="s">
        <v>10</v>
      </c>
      <c r="F11" s="5" t="s">
        <v>493</v>
      </c>
      <c r="G11" s="35" t="s">
        <v>494</v>
      </c>
      <c r="H11" s="5" t="n">
        <v>0</v>
      </c>
      <c r="I11" s="5"/>
      <c r="J11" s="5" t="s">
        <v>495</v>
      </c>
      <c r="K11" s="5"/>
    </row>
    <row r="12" customFormat="false" ht="19.5" hidden="false" customHeight="true" outlineLevel="0" collapsed="false">
      <c r="A12" s="5" t="s">
        <v>13</v>
      </c>
      <c r="B12" s="5" t="s">
        <v>9</v>
      </c>
      <c r="C12" s="5"/>
      <c r="D12" s="5" t="s">
        <v>496</v>
      </c>
      <c r="E12" s="5" t="s">
        <v>10</v>
      </c>
      <c r="F12" s="5" t="s">
        <v>497</v>
      </c>
      <c r="G12" s="35" t="s">
        <v>498</v>
      </c>
      <c r="H12" s="5" t="n">
        <v>0</v>
      </c>
      <c r="I12" s="5"/>
      <c r="J12" s="5" t="s">
        <v>499</v>
      </c>
      <c r="K12" s="5" t="s">
        <v>495</v>
      </c>
    </row>
    <row r="13" customFormat="false" ht="19.5" hidden="false" customHeight="true" outlineLevel="0" collapsed="false">
      <c r="A13" s="5" t="s">
        <v>15</v>
      </c>
      <c r="B13" s="5" t="s">
        <v>14</v>
      </c>
      <c r="C13" s="5" t="s">
        <v>468</v>
      </c>
      <c r="D13" s="5"/>
      <c r="E13" s="5" t="s">
        <v>10</v>
      </c>
      <c r="F13" s="5" t="s">
        <v>500</v>
      </c>
      <c r="G13" s="35" t="s">
        <v>501</v>
      </c>
      <c r="H13" s="5" t="n">
        <v>0</v>
      </c>
      <c r="I13" s="5"/>
      <c r="J13" s="5" t="s">
        <v>502</v>
      </c>
      <c r="K13" s="5"/>
    </row>
    <row r="14" customFormat="false" ht="19.5" hidden="false" customHeight="true" outlineLevel="0" collapsed="false">
      <c r="A14" s="5" t="s">
        <v>17</v>
      </c>
      <c r="B14" s="5" t="s">
        <v>16</v>
      </c>
      <c r="C14" s="5" t="s">
        <v>468</v>
      </c>
      <c r="D14" s="5"/>
      <c r="E14" s="5" t="s">
        <v>10</v>
      </c>
      <c r="F14" s="5" t="s">
        <v>503</v>
      </c>
      <c r="G14" s="35" t="s">
        <v>504</v>
      </c>
      <c r="H14" s="5" t="n">
        <v>0</v>
      </c>
      <c r="I14" s="5"/>
      <c r="J14" s="5" t="s">
        <v>505</v>
      </c>
      <c r="K14" s="5"/>
    </row>
    <row r="15" customFormat="false" ht="19.5" hidden="false" customHeight="true" outlineLevel="0" collapsed="false">
      <c r="A15" s="5" t="s">
        <v>19</v>
      </c>
      <c r="B15" s="5" t="s">
        <v>18</v>
      </c>
      <c r="C15" s="5" t="s">
        <v>468</v>
      </c>
      <c r="D15" s="5"/>
      <c r="E15" s="5" t="s">
        <v>10</v>
      </c>
      <c r="F15" s="5" t="s">
        <v>506</v>
      </c>
      <c r="G15" s="35" t="s">
        <v>507</v>
      </c>
      <c r="H15" s="5" t="n">
        <v>0</v>
      </c>
      <c r="I15" s="5"/>
      <c r="J15" s="5" t="s">
        <v>508</v>
      </c>
      <c r="K15" s="5"/>
    </row>
    <row r="16" customFormat="false" ht="19.5" hidden="false" customHeight="true" outlineLevel="0" collapsed="false">
      <c r="A16" s="5" t="s">
        <v>19</v>
      </c>
      <c r="B16" s="5" t="s">
        <v>18</v>
      </c>
      <c r="C16" s="5"/>
      <c r="D16" s="5" t="s">
        <v>496</v>
      </c>
      <c r="E16" s="5" t="s">
        <v>10</v>
      </c>
      <c r="F16" s="5" t="s">
        <v>509</v>
      </c>
      <c r="G16" s="35" t="s">
        <v>510</v>
      </c>
      <c r="H16" s="5" t="n">
        <v>0</v>
      </c>
      <c r="I16" s="5" t="s">
        <v>511</v>
      </c>
      <c r="J16" s="5" t="s">
        <v>512</v>
      </c>
      <c r="K16" s="5" t="s">
        <v>508</v>
      </c>
    </row>
    <row r="17" customFormat="false" ht="19.5" hidden="false" customHeight="true" outlineLevel="0" collapsed="false">
      <c r="A17" s="5" t="s">
        <v>29</v>
      </c>
      <c r="B17" s="5" t="s">
        <v>28</v>
      </c>
      <c r="C17" s="5" t="s">
        <v>468</v>
      </c>
      <c r="D17" s="5"/>
      <c r="E17" s="5" t="s">
        <v>10</v>
      </c>
      <c r="F17" s="5" t="s">
        <v>513</v>
      </c>
      <c r="G17" s="35" t="s">
        <v>514</v>
      </c>
      <c r="H17" s="5" t="n">
        <v>0</v>
      </c>
      <c r="I17" s="5"/>
      <c r="J17" s="5" t="s">
        <v>515</v>
      </c>
      <c r="K17" s="5"/>
    </row>
    <row r="18" customFormat="false" ht="19.5" hidden="false" customHeight="true" outlineLevel="0" collapsed="false">
      <c r="A18" s="5" t="s">
        <v>31</v>
      </c>
      <c r="B18" s="5" t="s">
        <v>30</v>
      </c>
      <c r="C18" s="5" t="s">
        <v>468</v>
      </c>
      <c r="D18" s="5"/>
      <c r="E18" s="5" t="s">
        <v>10</v>
      </c>
      <c r="F18" s="5" t="s">
        <v>516</v>
      </c>
      <c r="G18" s="35" t="s">
        <v>517</v>
      </c>
      <c r="H18" s="5" t="n">
        <v>0</v>
      </c>
      <c r="I18" s="5"/>
      <c r="J18" s="5" t="s">
        <v>518</v>
      </c>
      <c r="K18" s="5"/>
    </row>
    <row r="19" customFormat="false" ht="19.5" hidden="false" customHeight="true" outlineLevel="0" collapsed="false">
      <c r="A19" s="5" t="s">
        <v>34</v>
      </c>
      <c r="B19" s="5" t="s">
        <v>32</v>
      </c>
      <c r="C19" s="5" t="s">
        <v>468</v>
      </c>
      <c r="D19" s="5"/>
      <c r="E19" s="5" t="s">
        <v>10</v>
      </c>
      <c r="F19" s="5" t="s">
        <v>519</v>
      </c>
      <c r="G19" s="35" t="s">
        <v>520</v>
      </c>
      <c r="H19" s="5" t="n">
        <v>0</v>
      </c>
      <c r="I19" s="5"/>
      <c r="J19" s="5" t="s">
        <v>521</v>
      </c>
      <c r="K19" s="5"/>
    </row>
    <row r="20" customFormat="false" ht="19.5" hidden="false" customHeight="true" outlineLevel="0" collapsed="false">
      <c r="A20" s="5" t="s">
        <v>34</v>
      </c>
      <c r="B20" s="5" t="s">
        <v>32</v>
      </c>
      <c r="C20" s="5"/>
      <c r="D20" s="5" t="s">
        <v>496</v>
      </c>
      <c r="E20" s="5" t="s">
        <v>10</v>
      </c>
      <c r="F20" s="5" t="s">
        <v>522</v>
      </c>
      <c r="G20" s="5" t="s">
        <v>523</v>
      </c>
      <c r="H20" s="5" t="n">
        <v>0</v>
      </c>
      <c r="I20" s="5"/>
      <c r="J20" s="5" t="s">
        <v>524</v>
      </c>
      <c r="K20" s="5" t="s">
        <v>521</v>
      </c>
    </row>
    <row r="21" customFormat="false" ht="19.5" hidden="false" customHeight="true" outlineLevel="0" collapsed="false">
      <c r="A21" s="5" t="s">
        <v>36</v>
      </c>
      <c r="B21" s="5" t="s">
        <v>35</v>
      </c>
      <c r="C21" s="5" t="s">
        <v>468</v>
      </c>
      <c r="D21" s="5"/>
      <c r="E21" s="5" t="s">
        <v>10</v>
      </c>
      <c r="F21" s="5" t="s">
        <v>525</v>
      </c>
      <c r="G21" s="35" t="s">
        <v>526</v>
      </c>
      <c r="H21" s="5" t="n">
        <v>0</v>
      </c>
      <c r="I21" s="5"/>
      <c r="J21" s="5" t="s">
        <v>527</v>
      </c>
      <c r="K21" s="5"/>
    </row>
    <row r="22" customFormat="false" ht="19.5" hidden="false" customHeight="true" outlineLevel="0" collapsed="false">
      <c r="A22" s="5" t="s">
        <v>61</v>
      </c>
      <c r="B22" s="5" t="s">
        <v>60</v>
      </c>
      <c r="C22" s="5" t="s">
        <v>468</v>
      </c>
      <c r="D22" s="5"/>
      <c r="E22" s="5" t="s">
        <v>10</v>
      </c>
      <c r="F22" s="5" t="s">
        <v>528</v>
      </c>
      <c r="G22" s="5" t="s">
        <v>529</v>
      </c>
      <c r="H22" s="5" t="n">
        <v>0</v>
      </c>
      <c r="I22" s="5"/>
      <c r="J22" s="5" t="s">
        <v>530</v>
      </c>
      <c r="K22" s="5"/>
    </row>
    <row r="23" customFormat="false" ht="19.5" hidden="false" customHeight="true" outlineLevel="0" collapsed="false">
      <c r="A23" s="5" t="s">
        <v>68</v>
      </c>
      <c r="B23" s="5" t="s">
        <v>67</v>
      </c>
      <c r="C23" s="5" t="s">
        <v>468</v>
      </c>
      <c r="D23" s="5"/>
      <c r="E23" s="5" t="s">
        <v>10</v>
      </c>
      <c r="F23" s="5" t="s">
        <v>531</v>
      </c>
      <c r="G23" s="35" t="s">
        <v>532</v>
      </c>
      <c r="H23" s="5" t="n">
        <v>0</v>
      </c>
      <c r="I23" s="5"/>
      <c r="J23" s="5" t="s">
        <v>533</v>
      </c>
      <c r="K23" s="5"/>
    </row>
    <row r="24" customFormat="false" ht="19.5" hidden="false" customHeight="true" outlineLevel="0" collapsed="false">
      <c r="A24" s="5" t="s">
        <v>68</v>
      </c>
      <c r="B24" s="5" t="s">
        <v>67</v>
      </c>
      <c r="C24" s="5" t="s">
        <v>468</v>
      </c>
      <c r="D24" s="5"/>
      <c r="E24" s="5" t="s">
        <v>534</v>
      </c>
      <c r="F24" s="5" t="s">
        <v>535</v>
      </c>
      <c r="G24" s="5"/>
      <c r="H24" s="5" t="n">
        <v>0</v>
      </c>
      <c r="I24" s="5" t="s">
        <v>536</v>
      </c>
      <c r="J24" s="5" t="s">
        <v>537</v>
      </c>
      <c r="K24" s="5"/>
    </row>
    <row r="25" customFormat="false" ht="19.5" hidden="false" customHeight="true" outlineLevel="0" collapsed="false">
      <c r="A25" s="5" t="s">
        <v>68</v>
      </c>
      <c r="B25" s="5" t="s">
        <v>67</v>
      </c>
      <c r="C25" s="5"/>
      <c r="D25" s="5" t="s">
        <v>496</v>
      </c>
      <c r="E25" s="5" t="s">
        <v>534</v>
      </c>
      <c r="F25" s="5" t="s">
        <v>538</v>
      </c>
      <c r="G25" s="5" t="s">
        <v>539</v>
      </c>
      <c r="H25" s="5" t="n">
        <v>1</v>
      </c>
      <c r="I25" s="5"/>
      <c r="J25" s="5" t="s">
        <v>540</v>
      </c>
      <c r="K25" s="5" t="s">
        <v>537</v>
      </c>
    </row>
    <row r="26" customFormat="false" ht="19.5" hidden="false" customHeight="true" outlineLevel="0" collapsed="false">
      <c r="A26" s="5" t="s">
        <v>70</v>
      </c>
      <c r="B26" s="5" t="s">
        <v>69</v>
      </c>
      <c r="C26" s="5" t="s">
        <v>468</v>
      </c>
      <c r="D26" s="5"/>
      <c r="E26" s="5" t="s">
        <v>10</v>
      </c>
      <c r="F26" s="5" t="s">
        <v>541</v>
      </c>
      <c r="G26" s="35" t="s">
        <v>542</v>
      </c>
      <c r="H26" s="5" t="n">
        <v>0</v>
      </c>
      <c r="I26" s="5"/>
      <c r="J26" s="5" t="s">
        <v>543</v>
      </c>
      <c r="K26" s="5"/>
    </row>
    <row r="27" customFormat="false" ht="19.5" hidden="false" customHeight="true" outlineLevel="0" collapsed="false">
      <c r="A27" s="5" t="s">
        <v>72</v>
      </c>
      <c r="B27" s="5" t="s">
        <v>71</v>
      </c>
      <c r="C27" s="5" t="s">
        <v>468</v>
      </c>
      <c r="D27" s="5"/>
      <c r="E27" s="5" t="s">
        <v>10</v>
      </c>
      <c r="F27" s="5" t="s">
        <v>544</v>
      </c>
      <c r="G27" s="35" t="s">
        <v>545</v>
      </c>
      <c r="H27" s="5" t="n">
        <v>0</v>
      </c>
      <c r="I27" s="5"/>
      <c r="J27" s="5" t="s">
        <v>546</v>
      </c>
      <c r="K27" s="5"/>
    </row>
    <row r="28" customFormat="false" ht="19.5" hidden="false" customHeight="true" outlineLevel="0" collapsed="false">
      <c r="A28" s="5" t="s">
        <v>74</v>
      </c>
      <c r="B28" s="5" t="s">
        <v>73</v>
      </c>
      <c r="C28" s="5" t="s">
        <v>468</v>
      </c>
      <c r="D28" s="5"/>
      <c r="E28" s="5" t="s">
        <v>10</v>
      </c>
      <c r="F28" s="5" t="s">
        <v>547</v>
      </c>
      <c r="G28" s="35" t="s">
        <v>548</v>
      </c>
      <c r="H28" s="5" t="n">
        <v>0</v>
      </c>
      <c r="I28" s="5"/>
      <c r="J28" s="5" t="s">
        <v>549</v>
      </c>
      <c r="K28" s="5"/>
    </row>
    <row r="29" customFormat="false" ht="19.5" hidden="false" customHeight="true" outlineLevel="0" collapsed="false">
      <c r="A29" s="5" t="s">
        <v>75</v>
      </c>
      <c r="B29" s="5" t="s">
        <v>60</v>
      </c>
      <c r="C29" s="5" t="s">
        <v>468</v>
      </c>
      <c r="D29" s="5"/>
      <c r="E29" s="5" t="s">
        <v>10</v>
      </c>
      <c r="F29" s="5" t="s">
        <v>550</v>
      </c>
      <c r="G29" s="35" t="s">
        <v>551</v>
      </c>
      <c r="H29" s="5" t="n">
        <v>0</v>
      </c>
      <c r="I29" s="5"/>
      <c r="J29" s="5" t="s">
        <v>552</v>
      </c>
      <c r="K29" s="5"/>
    </row>
    <row r="30" customFormat="false" ht="19.5" hidden="false" customHeight="true" outlineLevel="0" collapsed="false">
      <c r="A30" s="5" t="s">
        <v>75</v>
      </c>
      <c r="B30" s="5" t="s">
        <v>60</v>
      </c>
      <c r="C30" s="5"/>
      <c r="D30" s="5" t="s">
        <v>496</v>
      </c>
      <c r="E30" s="5" t="s">
        <v>10</v>
      </c>
      <c r="F30" s="5" t="s">
        <v>553</v>
      </c>
      <c r="G30" s="5" t="s">
        <v>554</v>
      </c>
      <c r="H30" s="5" t="n">
        <v>0</v>
      </c>
      <c r="I30" s="5"/>
      <c r="J30" s="5" t="s">
        <v>555</v>
      </c>
      <c r="K30" s="5" t="s">
        <v>552</v>
      </c>
    </row>
    <row r="31" customFormat="false" ht="19.5" hidden="false" customHeight="true" outlineLevel="0" collapsed="false">
      <c r="A31" s="5" t="s">
        <v>81</v>
      </c>
      <c r="B31" s="5" t="s">
        <v>80</v>
      </c>
      <c r="C31" s="5" t="s">
        <v>468</v>
      </c>
      <c r="D31" s="5"/>
      <c r="E31" s="5" t="s">
        <v>10</v>
      </c>
      <c r="F31" s="5" t="s">
        <v>556</v>
      </c>
      <c r="G31" s="35" t="s">
        <v>557</v>
      </c>
      <c r="H31" s="5" t="n">
        <v>0</v>
      </c>
      <c r="I31" s="5"/>
      <c r="J31" s="5" t="s">
        <v>558</v>
      </c>
      <c r="K31" s="5"/>
    </row>
    <row r="32" customFormat="false" ht="19.5" hidden="false" customHeight="true" outlineLevel="0" collapsed="false">
      <c r="A32" s="5" t="s">
        <v>83</v>
      </c>
      <c r="B32" s="5" t="s">
        <v>82</v>
      </c>
      <c r="C32" s="5" t="s">
        <v>468</v>
      </c>
      <c r="D32" s="5"/>
      <c r="E32" s="5" t="s">
        <v>10</v>
      </c>
      <c r="F32" s="5" t="s">
        <v>559</v>
      </c>
      <c r="G32" s="35" t="s">
        <v>560</v>
      </c>
      <c r="H32" s="5" t="n">
        <v>0</v>
      </c>
      <c r="I32" s="5"/>
      <c r="J32" s="5" t="s">
        <v>561</v>
      </c>
      <c r="K32" s="5"/>
    </row>
    <row r="33" customFormat="false" ht="19.5" hidden="false" customHeight="true" outlineLevel="0" collapsed="false">
      <c r="A33" s="5" t="s">
        <v>85</v>
      </c>
      <c r="B33" s="5" t="s">
        <v>84</v>
      </c>
      <c r="C33" s="5" t="s">
        <v>468</v>
      </c>
      <c r="D33" s="5"/>
      <c r="E33" s="5" t="s">
        <v>10</v>
      </c>
      <c r="F33" s="5" t="s">
        <v>562</v>
      </c>
      <c r="G33" s="35" t="s">
        <v>563</v>
      </c>
      <c r="H33" s="5" t="n">
        <v>0</v>
      </c>
      <c r="I33" s="5"/>
      <c r="J33" s="5" t="s">
        <v>564</v>
      </c>
      <c r="K33" s="5"/>
    </row>
    <row r="34" customFormat="false" ht="19.5" hidden="false" customHeight="true" outlineLevel="0" collapsed="false">
      <c r="A34" s="5" t="s">
        <v>91</v>
      </c>
      <c r="B34" s="5" t="s">
        <v>90</v>
      </c>
      <c r="C34" s="5" t="s">
        <v>468</v>
      </c>
      <c r="D34" s="5"/>
      <c r="E34" s="5" t="s">
        <v>10</v>
      </c>
      <c r="F34" s="5" t="s">
        <v>565</v>
      </c>
      <c r="G34" s="35" t="s">
        <v>566</v>
      </c>
      <c r="H34" s="5" t="n">
        <v>0</v>
      </c>
      <c r="I34" s="5"/>
      <c r="J34" s="5" t="s">
        <v>567</v>
      </c>
      <c r="K34" s="5"/>
    </row>
    <row r="35" customFormat="false" ht="19.5" hidden="false" customHeight="true" outlineLevel="0" collapsed="false">
      <c r="A35" s="5" t="s">
        <v>86</v>
      </c>
      <c r="B35" s="5" t="s">
        <v>60</v>
      </c>
      <c r="C35" s="5" t="s">
        <v>468</v>
      </c>
      <c r="D35" s="5"/>
      <c r="E35" s="5" t="s">
        <v>10</v>
      </c>
      <c r="F35" s="5" t="s">
        <v>568</v>
      </c>
      <c r="G35" s="5" t="s">
        <v>569</v>
      </c>
      <c r="H35" s="5" t="n">
        <v>0</v>
      </c>
      <c r="I35" s="5"/>
      <c r="J35" s="5" t="s">
        <v>570</v>
      </c>
      <c r="K35" s="5"/>
    </row>
    <row r="36" customFormat="false" ht="19.5" hidden="false" customHeight="true" outlineLevel="0" collapsed="false">
      <c r="A36" s="5" t="s">
        <v>101</v>
      </c>
      <c r="B36" s="5" t="s">
        <v>100</v>
      </c>
      <c r="C36" s="5" t="s">
        <v>468</v>
      </c>
      <c r="D36" s="5"/>
      <c r="E36" s="5" t="s">
        <v>10</v>
      </c>
      <c r="F36" s="5" t="s">
        <v>571</v>
      </c>
      <c r="G36" s="5" t="s">
        <v>572</v>
      </c>
      <c r="H36" s="5" t="n">
        <v>0</v>
      </c>
      <c r="I36" s="5"/>
      <c r="J36" s="5" t="s">
        <v>573</v>
      </c>
      <c r="K36" s="5"/>
    </row>
    <row r="37" customFormat="false" ht="19.5" hidden="false" customHeight="true" outlineLevel="0" collapsed="false">
      <c r="A37" s="5" t="s">
        <v>93</v>
      </c>
      <c r="B37" s="5" t="s">
        <v>92</v>
      </c>
      <c r="C37" s="5" t="s">
        <v>468</v>
      </c>
      <c r="D37" s="5"/>
      <c r="E37" s="5" t="s">
        <v>10</v>
      </c>
      <c r="F37" s="5" t="s">
        <v>574</v>
      </c>
      <c r="G37" s="35" t="s">
        <v>575</v>
      </c>
      <c r="H37" s="5" t="n">
        <v>0</v>
      </c>
      <c r="I37" s="5"/>
      <c r="J37" s="5" t="s">
        <v>576</v>
      </c>
      <c r="K37" s="5"/>
    </row>
    <row r="38" customFormat="false" ht="19.5" hidden="false" customHeight="true" outlineLevel="0" collapsed="false">
      <c r="A38" s="5" t="s">
        <v>95</v>
      </c>
      <c r="B38" s="5" t="s">
        <v>94</v>
      </c>
      <c r="C38" s="5" t="s">
        <v>468</v>
      </c>
      <c r="D38" s="5"/>
      <c r="E38" s="5" t="s">
        <v>10</v>
      </c>
      <c r="F38" s="5" t="s">
        <v>577</v>
      </c>
      <c r="G38" s="35" t="s">
        <v>578</v>
      </c>
      <c r="H38" s="5" t="n">
        <v>0</v>
      </c>
      <c r="I38" s="5"/>
      <c r="J38" s="5" t="s">
        <v>579</v>
      </c>
      <c r="K38" s="5"/>
    </row>
    <row r="39" customFormat="false" ht="19.5" hidden="false" customHeight="true" outlineLevel="0" collapsed="false">
      <c r="A39" s="5" t="s">
        <v>97</v>
      </c>
      <c r="B39" s="5" t="s">
        <v>96</v>
      </c>
      <c r="C39" s="5" t="s">
        <v>468</v>
      </c>
      <c r="D39" s="5"/>
      <c r="E39" s="5" t="s">
        <v>10</v>
      </c>
      <c r="F39" s="5" t="s">
        <v>580</v>
      </c>
      <c r="G39" s="35" t="s">
        <v>581</v>
      </c>
      <c r="H39" s="5" t="n">
        <v>0</v>
      </c>
      <c r="I39" s="5"/>
      <c r="J39" s="5" t="s">
        <v>582</v>
      </c>
      <c r="K39" s="5"/>
    </row>
    <row r="40" customFormat="false" ht="19.5" hidden="false" customHeight="true" outlineLevel="0" collapsed="false">
      <c r="A40" s="5" t="s">
        <v>99</v>
      </c>
      <c r="B40" s="5" t="s">
        <v>98</v>
      </c>
      <c r="C40" s="5" t="s">
        <v>468</v>
      </c>
      <c r="D40" s="5"/>
      <c r="E40" s="5" t="s">
        <v>10</v>
      </c>
      <c r="F40" s="5" t="s">
        <v>583</v>
      </c>
      <c r="G40" s="35" t="s">
        <v>584</v>
      </c>
      <c r="H40" s="5" t="n">
        <v>0</v>
      </c>
      <c r="I40" s="5"/>
      <c r="J40" s="5" t="s">
        <v>585</v>
      </c>
      <c r="K40" s="5"/>
    </row>
    <row r="41" customFormat="false" ht="19.5" hidden="false" customHeight="true" outlineLevel="0" collapsed="false">
      <c r="A41" s="5" t="s">
        <v>113</v>
      </c>
      <c r="B41" s="5" t="s">
        <v>60</v>
      </c>
      <c r="C41" s="5" t="s">
        <v>468</v>
      </c>
      <c r="D41" s="5"/>
      <c r="E41" s="5" t="s">
        <v>10</v>
      </c>
      <c r="F41" s="5" t="s">
        <v>586</v>
      </c>
      <c r="G41" s="5" t="s">
        <v>587</v>
      </c>
      <c r="H41" s="5" t="n">
        <v>0</v>
      </c>
      <c r="I41" s="5"/>
      <c r="J41" s="5" t="s">
        <v>588</v>
      </c>
      <c r="K41" s="5"/>
    </row>
    <row r="42" customFormat="false" ht="19.5" hidden="false" customHeight="true" outlineLevel="0" collapsed="false">
      <c r="A42" s="5" t="s">
        <v>106</v>
      </c>
      <c r="B42" s="5" t="s">
        <v>105</v>
      </c>
      <c r="C42" s="5" t="s">
        <v>468</v>
      </c>
      <c r="D42" s="5"/>
      <c r="E42" s="5" t="s">
        <v>10</v>
      </c>
      <c r="F42" s="5" t="s">
        <v>589</v>
      </c>
      <c r="G42" s="35" t="s">
        <v>590</v>
      </c>
      <c r="H42" s="5" t="n">
        <v>0</v>
      </c>
      <c r="I42" s="5"/>
      <c r="J42" s="5" t="s">
        <v>591</v>
      </c>
      <c r="K42" s="5"/>
    </row>
    <row r="43" customFormat="false" ht="19.5" hidden="false" customHeight="true" outlineLevel="0" collapsed="false">
      <c r="A43" s="5" t="s">
        <v>108</v>
      </c>
      <c r="B43" s="5" t="s">
        <v>107</v>
      </c>
      <c r="C43" s="5" t="s">
        <v>468</v>
      </c>
      <c r="D43" s="5"/>
      <c r="E43" s="5" t="s">
        <v>10</v>
      </c>
      <c r="F43" s="5" t="s">
        <v>592</v>
      </c>
      <c r="G43" s="35" t="s">
        <v>593</v>
      </c>
      <c r="H43" s="5" t="n">
        <v>0</v>
      </c>
      <c r="I43" s="5"/>
      <c r="J43" s="5" t="s">
        <v>594</v>
      </c>
      <c r="K43" s="5"/>
    </row>
    <row r="44" customFormat="false" ht="19.5" hidden="false" customHeight="true" outlineLevel="0" collapsed="false">
      <c r="A44" s="5" t="s">
        <v>110</v>
      </c>
      <c r="B44" s="5" t="s">
        <v>109</v>
      </c>
      <c r="C44" s="5" t="s">
        <v>468</v>
      </c>
      <c r="D44" s="5"/>
      <c r="E44" s="5" t="s">
        <v>10</v>
      </c>
      <c r="F44" s="5" t="s">
        <v>595</v>
      </c>
      <c r="G44" s="35" t="s">
        <v>596</v>
      </c>
      <c r="H44" s="5" t="n">
        <v>0</v>
      </c>
      <c r="I44" s="5"/>
      <c r="J44" s="5" t="s">
        <v>597</v>
      </c>
      <c r="K44" s="5"/>
    </row>
    <row r="45" customFormat="false" ht="19.5" hidden="false" customHeight="true" outlineLevel="0" collapsed="false">
      <c r="A45" s="5" t="s">
        <v>112</v>
      </c>
      <c r="B45" s="5" t="s">
        <v>111</v>
      </c>
      <c r="C45" s="5" t="s">
        <v>468</v>
      </c>
      <c r="D45" s="5"/>
      <c r="E45" s="5" t="s">
        <v>10</v>
      </c>
      <c r="F45" s="5" t="s">
        <v>598</v>
      </c>
      <c r="G45" s="35" t="s">
        <v>599</v>
      </c>
      <c r="H45" s="5" t="n">
        <v>0</v>
      </c>
      <c r="I45" s="5"/>
      <c r="J45" s="5" t="s">
        <v>600</v>
      </c>
      <c r="K45" s="5"/>
    </row>
    <row r="46" customFormat="false" ht="19.5" hidden="false" customHeight="true" outlineLevel="0" collapsed="false">
      <c r="A46" s="5" t="s">
        <v>124</v>
      </c>
      <c r="B46" s="5" t="s">
        <v>60</v>
      </c>
      <c r="C46" s="5" t="s">
        <v>468</v>
      </c>
      <c r="D46" s="5"/>
      <c r="E46" s="5" t="s">
        <v>10</v>
      </c>
      <c r="F46" s="5" t="s">
        <v>601</v>
      </c>
      <c r="G46" s="5" t="s">
        <v>602</v>
      </c>
      <c r="H46" s="5" t="n">
        <v>0</v>
      </c>
      <c r="I46" s="5"/>
      <c r="J46" s="5" t="s">
        <v>603</v>
      </c>
      <c r="K46" s="5"/>
    </row>
    <row r="47" customFormat="false" ht="19.5" hidden="false" customHeight="true" outlineLevel="0" collapsed="false">
      <c r="A47" s="5" t="s">
        <v>117</v>
      </c>
      <c r="B47" s="5" t="s">
        <v>116</v>
      </c>
      <c r="C47" s="5" t="s">
        <v>468</v>
      </c>
      <c r="D47" s="5"/>
      <c r="E47" s="5" t="s">
        <v>10</v>
      </c>
      <c r="F47" s="5" t="s">
        <v>604</v>
      </c>
      <c r="G47" s="35" t="s">
        <v>605</v>
      </c>
      <c r="H47" s="5" t="n">
        <v>0</v>
      </c>
      <c r="I47" s="5"/>
      <c r="J47" s="5" t="s">
        <v>606</v>
      </c>
      <c r="K47" s="5"/>
    </row>
    <row r="48" customFormat="false" ht="19.5" hidden="false" customHeight="true" outlineLevel="0" collapsed="false">
      <c r="A48" s="5" t="s">
        <v>119</v>
      </c>
      <c r="B48" s="5" t="s">
        <v>118</v>
      </c>
      <c r="C48" s="5" t="s">
        <v>468</v>
      </c>
      <c r="D48" s="5"/>
      <c r="E48" s="5" t="s">
        <v>10</v>
      </c>
      <c r="F48" s="5" t="s">
        <v>607</v>
      </c>
      <c r="G48" s="35" t="s">
        <v>608</v>
      </c>
      <c r="H48" s="5" t="n">
        <v>0</v>
      </c>
      <c r="I48" s="5"/>
      <c r="J48" s="5" t="s">
        <v>609</v>
      </c>
      <c r="K48" s="5"/>
    </row>
    <row r="49" customFormat="false" ht="19.5" hidden="false" customHeight="true" outlineLevel="0" collapsed="false">
      <c r="A49" s="5" t="s">
        <v>121</v>
      </c>
      <c r="B49" s="5" t="s">
        <v>120</v>
      </c>
      <c r="C49" s="5" t="s">
        <v>468</v>
      </c>
      <c r="D49" s="5"/>
      <c r="E49" s="5" t="s">
        <v>10</v>
      </c>
      <c r="F49" s="5" t="s">
        <v>610</v>
      </c>
      <c r="G49" s="35" t="s">
        <v>611</v>
      </c>
      <c r="H49" s="5" t="n">
        <v>0</v>
      </c>
      <c r="I49" s="5"/>
      <c r="J49" s="5" t="s">
        <v>612</v>
      </c>
      <c r="K49" s="5"/>
    </row>
    <row r="50" customFormat="false" ht="19.5" hidden="false" customHeight="true" outlineLevel="0" collapsed="false">
      <c r="A50" s="5" t="s">
        <v>123</v>
      </c>
      <c r="B50" s="5" t="s">
        <v>122</v>
      </c>
      <c r="C50" s="5" t="s">
        <v>468</v>
      </c>
      <c r="D50" s="5"/>
      <c r="E50" s="5" t="s">
        <v>10</v>
      </c>
      <c r="F50" s="5" t="s">
        <v>613</v>
      </c>
      <c r="G50" s="35" t="s">
        <v>614</v>
      </c>
      <c r="H50" s="5" t="n">
        <v>0</v>
      </c>
      <c r="I50" s="5"/>
      <c r="J50" s="5" t="s">
        <v>615</v>
      </c>
      <c r="K50" s="5"/>
    </row>
    <row r="51" customFormat="false" ht="19.5" hidden="false" customHeight="true" outlineLevel="0" collapsed="false">
      <c r="A51" s="5" t="s">
        <v>135</v>
      </c>
      <c r="B51" s="5" t="s">
        <v>60</v>
      </c>
      <c r="C51" s="5" t="s">
        <v>468</v>
      </c>
      <c r="D51" s="5"/>
      <c r="E51" s="5" t="s">
        <v>10</v>
      </c>
      <c r="F51" s="5" t="s">
        <v>616</v>
      </c>
      <c r="G51" s="35" t="s">
        <v>617</v>
      </c>
      <c r="H51" s="5" t="n">
        <v>0</v>
      </c>
      <c r="I51" s="5"/>
      <c r="J51" s="5" t="s">
        <v>618</v>
      </c>
      <c r="K51" s="5"/>
    </row>
    <row r="52" customFormat="false" ht="19.5" hidden="false" customHeight="true" outlineLevel="0" collapsed="false">
      <c r="A52" s="5" t="s">
        <v>128</v>
      </c>
      <c r="B52" s="5" t="s">
        <v>127</v>
      </c>
      <c r="C52" s="5" t="s">
        <v>468</v>
      </c>
      <c r="D52" s="5"/>
      <c r="E52" s="5" t="s">
        <v>10</v>
      </c>
      <c r="F52" s="5" t="s">
        <v>619</v>
      </c>
      <c r="G52" s="35" t="s">
        <v>620</v>
      </c>
      <c r="H52" s="5" t="n">
        <v>0</v>
      </c>
      <c r="I52" s="5"/>
      <c r="J52" s="5" t="s">
        <v>621</v>
      </c>
      <c r="K52" s="5"/>
    </row>
    <row r="53" customFormat="false" ht="19.5" hidden="false" customHeight="true" outlineLevel="0" collapsed="false">
      <c r="A53" s="5" t="s">
        <v>130</v>
      </c>
      <c r="B53" s="5" t="s">
        <v>129</v>
      </c>
      <c r="C53" s="5" t="s">
        <v>468</v>
      </c>
      <c r="D53" s="5"/>
      <c r="E53" s="5" t="s">
        <v>10</v>
      </c>
      <c r="F53" s="5" t="s">
        <v>622</v>
      </c>
      <c r="G53" s="35" t="s">
        <v>623</v>
      </c>
      <c r="H53" s="5" t="n">
        <v>0</v>
      </c>
      <c r="I53" s="5"/>
      <c r="J53" s="5" t="s">
        <v>624</v>
      </c>
      <c r="K53" s="5"/>
    </row>
    <row r="54" customFormat="false" ht="19.5" hidden="false" customHeight="true" outlineLevel="0" collapsed="false">
      <c r="A54" s="5" t="s">
        <v>132</v>
      </c>
      <c r="B54" s="5" t="s">
        <v>131</v>
      </c>
      <c r="C54" s="5" t="s">
        <v>468</v>
      </c>
      <c r="D54" s="5"/>
      <c r="E54" s="5" t="s">
        <v>10</v>
      </c>
      <c r="F54" s="5" t="s">
        <v>625</v>
      </c>
      <c r="G54" s="35" t="s">
        <v>626</v>
      </c>
      <c r="H54" s="5" t="n">
        <v>0</v>
      </c>
      <c r="I54" s="5"/>
      <c r="J54" s="5" t="s">
        <v>627</v>
      </c>
      <c r="K54" s="5"/>
    </row>
    <row r="55" customFormat="false" ht="19.5" hidden="false" customHeight="true" outlineLevel="0" collapsed="false">
      <c r="A55" s="5" t="s">
        <v>134</v>
      </c>
      <c r="B55" s="5" t="s">
        <v>133</v>
      </c>
      <c r="C55" s="5" t="s">
        <v>468</v>
      </c>
      <c r="D55" s="5"/>
      <c r="E55" s="5" t="s">
        <v>10</v>
      </c>
      <c r="F55" s="5" t="s">
        <v>628</v>
      </c>
      <c r="G55" s="35" t="s">
        <v>629</v>
      </c>
      <c r="H55" s="5" t="n">
        <v>0</v>
      </c>
      <c r="I55" s="5"/>
      <c r="J55" s="5" t="s">
        <v>630</v>
      </c>
      <c r="K55" s="5"/>
    </row>
    <row r="56" customFormat="false" ht="19.5" hidden="false" customHeight="true" outlineLevel="0" collapsed="false">
      <c r="A56" s="5" t="s">
        <v>146</v>
      </c>
      <c r="B56" s="5" t="s">
        <v>60</v>
      </c>
      <c r="C56" s="5" t="s">
        <v>468</v>
      </c>
      <c r="D56" s="5"/>
      <c r="E56" s="5" t="s">
        <v>10</v>
      </c>
      <c r="F56" s="5" t="s">
        <v>631</v>
      </c>
      <c r="G56" s="35" t="s">
        <v>632</v>
      </c>
      <c r="H56" s="5" t="n">
        <v>0</v>
      </c>
      <c r="I56" s="5"/>
      <c r="J56" s="5" t="s">
        <v>633</v>
      </c>
      <c r="K56" s="5"/>
    </row>
    <row r="57" customFormat="false" ht="19.5" hidden="false" customHeight="true" outlineLevel="0" collapsed="false">
      <c r="A57" s="5" t="s">
        <v>139</v>
      </c>
      <c r="B57" s="5" t="s">
        <v>138</v>
      </c>
      <c r="C57" s="5" t="s">
        <v>468</v>
      </c>
      <c r="D57" s="5"/>
      <c r="E57" s="5" t="s">
        <v>10</v>
      </c>
      <c r="F57" s="5" t="s">
        <v>634</v>
      </c>
      <c r="G57" s="35" t="s">
        <v>635</v>
      </c>
      <c r="H57" s="5" t="n">
        <v>0</v>
      </c>
      <c r="I57" s="5"/>
      <c r="J57" s="5" t="s">
        <v>636</v>
      </c>
      <c r="K57" s="5"/>
    </row>
    <row r="58" customFormat="false" ht="19.5" hidden="false" customHeight="true" outlineLevel="0" collapsed="false">
      <c r="A58" s="5" t="s">
        <v>141</v>
      </c>
      <c r="B58" s="5" t="s">
        <v>140</v>
      </c>
      <c r="C58" s="5" t="s">
        <v>468</v>
      </c>
      <c r="D58" s="5"/>
      <c r="E58" s="5" t="s">
        <v>10</v>
      </c>
      <c r="F58" s="5" t="s">
        <v>637</v>
      </c>
      <c r="G58" s="35" t="s">
        <v>638</v>
      </c>
      <c r="H58" s="5" t="n">
        <v>0</v>
      </c>
      <c r="I58" s="5"/>
      <c r="J58" s="5" t="s">
        <v>639</v>
      </c>
      <c r="K58" s="5"/>
    </row>
    <row r="59" customFormat="false" ht="19.5" hidden="false" customHeight="true" outlineLevel="0" collapsed="false">
      <c r="A59" s="5" t="s">
        <v>143</v>
      </c>
      <c r="B59" s="5" t="s">
        <v>142</v>
      </c>
      <c r="C59" s="5" t="s">
        <v>468</v>
      </c>
      <c r="D59" s="5"/>
      <c r="E59" s="5" t="s">
        <v>10</v>
      </c>
      <c r="F59" s="5" t="s">
        <v>640</v>
      </c>
      <c r="G59" s="35" t="s">
        <v>641</v>
      </c>
      <c r="H59" s="5" t="n">
        <v>0</v>
      </c>
      <c r="I59" s="5"/>
      <c r="J59" s="5" t="s">
        <v>642</v>
      </c>
      <c r="K59" s="5"/>
    </row>
    <row r="60" customFormat="false" ht="19.5" hidden="false" customHeight="true" outlineLevel="0" collapsed="false">
      <c r="A60" s="5" t="s">
        <v>145</v>
      </c>
      <c r="B60" s="5" t="s">
        <v>144</v>
      </c>
      <c r="C60" s="5" t="s">
        <v>468</v>
      </c>
      <c r="D60" s="5"/>
      <c r="E60" s="5" t="s">
        <v>10</v>
      </c>
      <c r="F60" s="5" t="s">
        <v>643</v>
      </c>
      <c r="G60" s="35" t="s">
        <v>644</v>
      </c>
      <c r="H60" s="5" t="n">
        <v>0</v>
      </c>
      <c r="I60" s="5"/>
      <c r="J60" s="5" t="s">
        <v>645</v>
      </c>
      <c r="K60" s="5"/>
    </row>
    <row r="61" customFormat="false" ht="19.5" hidden="false" customHeight="true" outlineLevel="0" collapsed="false">
      <c r="A61" s="5" t="s">
        <v>157</v>
      </c>
      <c r="B61" s="5" t="s">
        <v>60</v>
      </c>
      <c r="C61" s="5" t="s">
        <v>468</v>
      </c>
      <c r="D61" s="5"/>
      <c r="E61" s="5" t="s">
        <v>10</v>
      </c>
      <c r="F61" s="5" t="s">
        <v>646</v>
      </c>
      <c r="G61" s="5" t="s">
        <v>647</v>
      </c>
      <c r="H61" s="5" t="n">
        <v>0</v>
      </c>
      <c r="I61" s="5"/>
      <c r="J61" s="5" t="s">
        <v>648</v>
      </c>
      <c r="K61" s="5"/>
    </row>
    <row r="62" customFormat="false" ht="19.5" hidden="false" customHeight="true" outlineLevel="0" collapsed="false">
      <c r="A62" s="5" t="s">
        <v>150</v>
      </c>
      <c r="B62" s="5" t="s">
        <v>149</v>
      </c>
      <c r="C62" s="5" t="s">
        <v>468</v>
      </c>
      <c r="D62" s="5"/>
      <c r="E62" s="5" t="s">
        <v>10</v>
      </c>
      <c r="F62" s="5" t="s">
        <v>649</v>
      </c>
      <c r="G62" s="35" t="s">
        <v>650</v>
      </c>
      <c r="H62" s="5" t="n">
        <v>0</v>
      </c>
      <c r="I62" s="5"/>
      <c r="J62" s="5" t="s">
        <v>651</v>
      </c>
      <c r="K62" s="5"/>
    </row>
    <row r="63" customFormat="false" ht="19.5" hidden="false" customHeight="true" outlineLevel="0" collapsed="false">
      <c r="A63" s="5" t="s">
        <v>152</v>
      </c>
      <c r="B63" s="5" t="s">
        <v>151</v>
      </c>
      <c r="C63" s="5" t="s">
        <v>468</v>
      </c>
      <c r="D63" s="5"/>
      <c r="E63" s="5" t="s">
        <v>10</v>
      </c>
      <c r="F63" s="5" t="s">
        <v>652</v>
      </c>
      <c r="G63" s="35" t="s">
        <v>653</v>
      </c>
      <c r="H63" s="5" t="n">
        <v>0</v>
      </c>
      <c r="I63" s="5"/>
      <c r="J63" s="5" t="s">
        <v>654</v>
      </c>
      <c r="K63" s="5"/>
    </row>
    <row r="64" customFormat="false" ht="19.5" hidden="false" customHeight="true" outlineLevel="0" collapsed="false">
      <c r="A64" s="5" t="s">
        <v>154</v>
      </c>
      <c r="B64" s="5" t="s">
        <v>153</v>
      </c>
      <c r="C64" s="5" t="s">
        <v>468</v>
      </c>
      <c r="D64" s="5"/>
      <c r="E64" s="5" t="s">
        <v>10</v>
      </c>
      <c r="F64" s="5" t="s">
        <v>655</v>
      </c>
      <c r="G64" s="35" t="s">
        <v>656</v>
      </c>
      <c r="H64" s="5" t="n">
        <v>0</v>
      </c>
      <c r="I64" s="5"/>
      <c r="J64" s="5" t="s">
        <v>657</v>
      </c>
      <c r="K64" s="5"/>
    </row>
    <row r="65" customFormat="false" ht="19.5" hidden="false" customHeight="true" outlineLevel="0" collapsed="false">
      <c r="A65" s="5" t="s">
        <v>156</v>
      </c>
      <c r="B65" s="5" t="s">
        <v>155</v>
      </c>
      <c r="C65" s="5" t="s">
        <v>468</v>
      </c>
      <c r="D65" s="5"/>
      <c r="E65" s="5" t="s">
        <v>10</v>
      </c>
      <c r="F65" s="5" t="s">
        <v>658</v>
      </c>
      <c r="G65" s="35" t="s">
        <v>659</v>
      </c>
      <c r="H65" s="5" t="n">
        <v>0</v>
      </c>
      <c r="I65" s="5"/>
      <c r="J65" s="5" t="s">
        <v>660</v>
      </c>
      <c r="K65" s="5"/>
    </row>
    <row r="66" customFormat="false" ht="19.5" hidden="false" customHeight="true" outlineLevel="0" collapsed="false">
      <c r="A66" s="5" t="s">
        <v>49</v>
      </c>
      <c r="B66" s="5" t="s">
        <v>20</v>
      </c>
      <c r="C66" s="5" t="s">
        <v>468</v>
      </c>
      <c r="D66" s="5"/>
      <c r="E66" s="5" t="s">
        <v>10</v>
      </c>
      <c r="F66" s="5" t="s">
        <v>661</v>
      </c>
      <c r="G66" s="35" t="s">
        <v>662</v>
      </c>
      <c r="H66" s="5" t="n">
        <v>0</v>
      </c>
      <c r="I66" s="5" t="s">
        <v>663</v>
      </c>
      <c r="J66" s="5" t="s">
        <v>664</v>
      </c>
      <c r="K66" s="5"/>
    </row>
    <row r="67" customFormat="false" ht="19.5" hidden="false" customHeight="true" outlineLevel="0" collapsed="false">
      <c r="A67" s="5" t="s">
        <v>37</v>
      </c>
      <c r="B67" s="5" t="s">
        <v>20</v>
      </c>
      <c r="C67" s="5" t="s">
        <v>468</v>
      </c>
      <c r="D67" s="5"/>
      <c r="E67" s="5" t="s">
        <v>10</v>
      </c>
      <c r="F67" s="5" t="s">
        <v>665</v>
      </c>
      <c r="G67" s="35" t="s">
        <v>666</v>
      </c>
      <c r="H67" s="5" t="n">
        <v>0</v>
      </c>
      <c r="I67" s="5" t="s">
        <v>667</v>
      </c>
      <c r="J67" s="5" t="s">
        <v>668</v>
      </c>
      <c r="K67" s="5"/>
    </row>
    <row r="68" customFormat="false" ht="19.5" hidden="false" customHeight="true" outlineLevel="0" collapsed="false">
      <c r="A68" s="5" t="s">
        <v>24</v>
      </c>
      <c r="B68" s="5" t="s">
        <v>23</v>
      </c>
      <c r="C68" s="5" t="s">
        <v>468</v>
      </c>
      <c r="D68" s="5"/>
      <c r="E68" s="5" t="s">
        <v>10</v>
      </c>
      <c r="F68" s="5" t="s">
        <v>669</v>
      </c>
      <c r="G68" s="5" t="s">
        <v>670</v>
      </c>
      <c r="H68" s="5" t="n">
        <v>0</v>
      </c>
      <c r="I68" s="5"/>
      <c r="J68" s="5" t="s">
        <v>671</v>
      </c>
      <c r="K68" s="5"/>
    </row>
    <row r="69" customFormat="false" ht="19.5" hidden="false" customHeight="true" outlineLevel="0" collapsed="false">
      <c r="A69" s="5" t="s">
        <v>77</v>
      </c>
      <c r="B69" s="5" t="s">
        <v>76</v>
      </c>
      <c r="C69" s="5" t="s">
        <v>468</v>
      </c>
      <c r="D69" s="5"/>
      <c r="E69" s="5" t="s">
        <v>672</v>
      </c>
      <c r="F69" s="5" t="s">
        <v>673</v>
      </c>
      <c r="G69" s="5" t="s">
        <v>674</v>
      </c>
      <c r="H69" s="5" t="n">
        <v>0</v>
      </c>
      <c r="I69" s="5"/>
      <c r="J69" s="5" t="s">
        <v>675</v>
      </c>
      <c r="K69" s="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2026-10-12T15:49:15Z</dcterms:created>
  <dc:creator>Monday.com</dc:creator>
  <dc:description/>
  <dc:language>en-US</dc:language>
  <cp:lastModifiedBy>Monday.com</cp:lastModifiedBy>
  <dcterms:modified xsi:type="dcterms:W3CDTF">2026-10-12T16:22:56Z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